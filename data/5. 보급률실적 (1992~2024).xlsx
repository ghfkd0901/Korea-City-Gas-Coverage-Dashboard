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D:\work\00 업무\08 통계\02 사업편람\2025편람\5-1 홈페이지용\2. 공급실적\"/>
    </mc:Choice>
  </mc:AlternateContent>
  <xr:revisionPtr revIDLastSave="0" documentId="13_ncr:1_{5FEEC3D6-28C8-4A18-9299-6CA8A826620F}" xr6:coauthVersionLast="47" xr6:coauthVersionMax="47" xr10:uidLastSave="{00000000-0000-0000-0000-000000000000}"/>
  <bookViews>
    <workbookView xWindow="14295" yWindow="0" windowWidth="14610" windowHeight="15585" firstSheet="1" activeTab="4" xr2:uid="{00000000-000D-0000-FFFF-FFFF00000000}"/>
  </bookViews>
  <sheets>
    <sheet name="('92-'05)" sheetId="9" r:id="rId1"/>
    <sheet name="('06-'11)" sheetId="10" r:id="rId2"/>
    <sheet name="('12-'17)" sheetId="11" r:id="rId3"/>
    <sheet name="('18-'23)" sheetId="12" r:id="rId4"/>
    <sheet name="('24)" sheetId="13" r:id="rId5"/>
  </sheets>
  <definedNames>
    <definedName name="_xlnm.Print_Area" localSheetId="2">'(''12-''17)'!$A$1:$T$78</definedName>
    <definedName name="_xlnm.Print_Area" localSheetId="3">'(''18-''23)'!$A$1:$T$78</definedName>
    <definedName name="_xlnm.Print_Area" localSheetId="4">'(''24)'!$A$1:$D$81</definedName>
    <definedName name="_xlnm.Print_Area" localSheetId="0">'(''92-''05)'!$A$1:$P$72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0" i="13" l="1"/>
  <c r="C80" i="13"/>
  <c r="D79" i="13"/>
  <c r="C79" i="13"/>
  <c r="D78" i="13"/>
  <c r="C78" i="13"/>
  <c r="D77" i="13"/>
  <c r="C77" i="13"/>
  <c r="D76" i="13"/>
  <c r="C76" i="13"/>
  <c r="D75" i="13"/>
  <c r="C75" i="13"/>
  <c r="D74" i="13"/>
  <c r="C74" i="13"/>
  <c r="D73" i="13"/>
  <c r="C73" i="13"/>
  <c r="D72" i="13"/>
  <c r="C72" i="13"/>
  <c r="D71" i="13"/>
  <c r="C71" i="13"/>
  <c r="D70" i="13"/>
  <c r="C70" i="13"/>
  <c r="D69" i="13"/>
  <c r="C69" i="13"/>
  <c r="D68" i="13"/>
  <c r="C68" i="13"/>
</calcChain>
</file>

<file path=xl/sharedStrings.xml><?xml version="1.0" encoding="utf-8"?>
<sst xmlns="http://schemas.openxmlformats.org/spreadsheetml/2006/main" count="474" uniqueCount="127">
  <si>
    <t>*) 보급률 산정기준 : 공급권역(공급지역 허가기준)내 주민등록세대수 대비 가정용 수요가수</t>
    <phoneticPr fontId="7" type="noConversion"/>
  </si>
  <si>
    <t>경   동 (계)</t>
    <phoneticPr fontId="7" type="noConversion"/>
  </si>
  <si>
    <t>CNCITY (계)</t>
    <phoneticPr fontId="7" type="noConversion"/>
  </si>
  <si>
    <t>전 국 계</t>
    <phoneticPr fontId="7" type="noConversion"/>
  </si>
  <si>
    <t>소   계</t>
  </si>
  <si>
    <t>지에스이</t>
  </si>
  <si>
    <t>경   동</t>
  </si>
  <si>
    <t>경   남</t>
  </si>
  <si>
    <t>서라벌</t>
  </si>
  <si>
    <t>대성청정</t>
  </si>
  <si>
    <t>영남ES(포항)</t>
    <phoneticPr fontId="7" type="noConversion"/>
  </si>
  <si>
    <t>영남ES(구미)</t>
    <phoneticPr fontId="7" type="noConversion"/>
  </si>
  <si>
    <t>대   화</t>
  </si>
  <si>
    <t>전   남</t>
  </si>
  <si>
    <t>해   양</t>
  </si>
  <si>
    <t>전북ES</t>
  </si>
  <si>
    <t>군   산</t>
  </si>
  <si>
    <t>전   북</t>
  </si>
  <si>
    <t>서   해</t>
  </si>
  <si>
    <t>중   부</t>
  </si>
  <si>
    <t>CNCITY</t>
    <phoneticPr fontId="7" type="noConversion"/>
  </si>
  <si>
    <t>참빛충북</t>
  </si>
  <si>
    <t>충청ES</t>
  </si>
  <si>
    <t>참   빛</t>
  </si>
  <si>
    <t>참빛영동</t>
  </si>
  <si>
    <t>참빛원주</t>
  </si>
  <si>
    <t>강   원</t>
  </si>
  <si>
    <t>부   산</t>
  </si>
  <si>
    <t>귀뚜라미</t>
  </si>
  <si>
    <t>경   동 (계)</t>
  </si>
  <si>
    <t>해   양 (계)</t>
  </si>
  <si>
    <t>대   성 (계)</t>
  </si>
  <si>
    <t>인   천 (계)</t>
  </si>
  <si>
    <t>삼천리 (계)</t>
  </si>
  <si>
    <t>대   륜 (계)</t>
  </si>
  <si>
    <t>서   울 (계)</t>
  </si>
  <si>
    <t>예스코 (계)</t>
  </si>
  <si>
    <t>코원ES (계)</t>
  </si>
  <si>
    <t>지 방 계</t>
  </si>
  <si>
    <t>제   주</t>
  </si>
  <si>
    <t>제 주</t>
  </si>
  <si>
    <t>경 남</t>
  </si>
  <si>
    <t>대   성</t>
  </si>
  <si>
    <t>경 북</t>
  </si>
  <si>
    <t>전 남</t>
  </si>
  <si>
    <t>전 북</t>
  </si>
  <si>
    <t>충 남</t>
  </si>
  <si>
    <t>충 북</t>
  </si>
  <si>
    <t>강 원</t>
  </si>
  <si>
    <t>울 산</t>
  </si>
  <si>
    <t>대 전</t>
  </si>
  <si>
    <t>광 주</t>
  </si>
  <si>
    <t>대 구</t>
  </si>
  <si>
    <t>부 산</t>
  </si>
  <si>
    <t>수도권 계</t>
  </si>
  <si>
    <t>인   천</t>
  </si>
  <si>
    <t>삼천리</t>
  </si>
  <si>
    <t>대   륜</t>
  </si>
  <si>
    <t>서   울</t>
  </si>
  <si>
    <t>예스코</t>
  </si>
  <si>
    <t>코원ES</t>
  </si>
  <si>
    <t>경 기</t>
  </si>
  <si>
    <t>인 천</t>
  </si>
  <si>
    <t>서 울</t>
  </si>
  <si>
    <t>보 급 률 (%)</t>
    <phoneticPr fontId="12" type="noConversion"/>
  </si>
  <si>
    <t>수  요  가  수 (개)</t>
    <phoneticPr fontId="11" type="noConversion"/>
  </si>
  <si>
    <t>공 급 권 역 내   세 대 수 (개)</t>
    <phoneticPr fontId="13" type="noConversion"/>
  </si>
  <si>
    <t>회사별</t>
  </si>
  <si>
    <t>시도별</t>
  </si>
  <si>
    <t xml:space="preserve"> </t>
    <phoneticPr fontId="11" type="noConversion"/>
  </si>
  <si>
    <t>(2) 2006~2011년 연도별·회사별 보급률</t>
    <phoneticPr fontId="11" type="noConversion"/>
  </si>
  <si>
    <t>충청ES(계)</t>
  </si>
  <si>
    <t>세 종</t>
  </si>
  <si>
    <t>수  요  가  수 (개)</t>
    <phoneticPr fontId="7" type="noConversion"/>
  </si>
  <si>
    <t>보 급 률 (%)</t>
    <phoneticPr fontId="7" type="noConversion"/>
  </si>
  <si>
    <t>명   성</t>
    <phoneticPr fontId="7" type="noConversion"/>
  </si>
  <si>
    <t>J   B (계)</t>
    <phoneticPr fontId="7" type="noConversion"/>
  </si>
  <si>
    <t>**) 2019년 공급권역내 세대수 및 보급률 변경 : 서해의 데이터 수정(공급권역내 세대수)</t>
    <phoneticPr fontId="7" type="noConversion"/>
  </si>
  <si>
    <t>공 급 권 역 내   세 대 수 (개)</t>
    <phoneticPr fontId="7" type="noConversion"/>
  </si>
  <si>
    <t>(1) 1992~2005년 연도별·회사별 보급률</t>
    <phoneticPr fontId="11" type="noConversion"/>
  </si>
  <si>
    <t>시도별</t>
    <phoneticPr fontId="7" type="noConversion"/>
  </si>
  <si>
    <t>회사별</t>
    <phoneticPr fontId="7" type="noConversion"/>
  </si>
  <si>
    <t>보  급  률 (%)</t>
    <phoneticPr fontId="16" type="noConversion"/>
  </si>
  <si>
    <t>서  울</t>
    <phoneticPr fontId="7" type="noConversion"/>
  </si>
  <si>
    <t>코원ES</t>
    <phoneticPr fontId="7" type="noConversion"/>
  </si>
  <si>
    <t>예스코</t>
    <phoneticPr fontId="7" type="noConversion"/>
  </si>
  <si>
    <t>서   울</t>
    <phoneticPr fontId="7" type="noConversion"/>
  </si>
  <si>
    <t>대   륜</t>
    <phoneticPr fontId="7" type="noConversion"/>
  </si>
  <si>
    <t>소   계</t>
    <phoneticPr fontId="7" type="noConversion"/>
  </si>
  <si>
    <t>인  천</t>
    <phoneticPr fontId="7" type="noConversion"/>
  </si>
  <si>
    <t>삼천리</t>
    <phoneticPr fontId="7" type="noConversion"/>
  </si>
  <si>
    <t>인   천</t>
    <phoneticPr fontId="7" type="noConversion"/>
  </si>
  <si>
    <t>경  기</t>
    <phoneticPr fontId="7" type="noConversion"/>
  </si>
  <si>
    <t>수도권 계</t>
    <phoneticPr fontId="7" type="noConversion"/>
  </si>
  <si>
    <t>부  산</t>
    <phoneticPr fontId="7" type="noConversion"/>
  </si>
  <si>
    <t>대  구</t>
    <phoneticPr fontId="7" type="noConversion"/>
  </si>
  <si>
    <t>대   성</t>
    <phoneticPr fontId="18" type="noConversion"/>
  </si>
  <si>
    <t>광  주</t>
    <phoneticPr fontId="7" type="noConversion"/>
  </si>
  <si>
    <t>대  전</t>
    <phoneticPr fontId="7" type="noConversion"/>
  </si>
  <si>
    <t>울  산</t>
    <phoneticPr fontId="7" type="noConversion"/>
  </si>
  <si>
    <t>강  원</t>
    <phoneticPr fontId="7" type="noConversion"/>
  </si>
  <si>
    <t>충  북</t>
    <phoneticPr fontId="7" type="noConversion"/>
  </si>
  <si>
    <t>충  남</t>
    <phoneticPr fontId="7" type="noConversion"/>
  </si>
  <si>
    <t>전  북</t>
    <phoneticPr fontId="7" type="noConversion"/>
  </si>
  <si>
    <t>전  남</t>
    <phoneticPr fontId="7" type="noConversion"/>
  </si>
  <si>
    <t>경  북</t>
    <phoneticPr fontId="7" type="noConversion"/>
  </si>
  <si>
    <t>경  남</t>
    <phoneticPr fontId="7" type="noConversion"/>
  </si>
  <si>
    <t>제  주</t>
    <phoneticPr fontId="19" type="noConversion"/>
  </si>
  <si>
    <t>제   주</t>
    <phoneticPr fontId="18" type="noConversion"/>
  </si>
  <si>
    <t>지 방 계</t>
    <phoneticPr fontId="7" type="noConversion"/>
  </si>
  <si>
    <t>코원ES (계)</t>
    <phoneticPr fontId="7" type="noConversion"/>
  </si>
  <si>
    <t>예스코 (계)</t>
    <phoneticPr fontId="7" type="noConversion"/>
  </si>
  <si>
    <t>서   울 (계)</t>
    <phoneticPr fontId="7" type="noConversion"/>
  </si>
  <si>
    <t>대   륜 (계)</t>
    <phoneticPr fontId="7" type="noConversion"/>
  </si>
  <si>
    <t>삼천리 (계)</t>
    <phoneticPr fontId="7" type="noConversion"/>
  </si>
  <si>
    <t>인   천 (계)</t>
    <phoneticPr fontId="7" type="noConversion"/>
  </si>
  <si>
    <t>대   성 (계)</t>
    <phoneticPr fontId="7" type="noConversion"/>
  </si>
  <si>
    <t>해   양 (계)</t>
    <phoneticPr fontId="7" type="noConversion"/>
  </si>
  <si>
    <t>10. 연도별 가정용 보급률 (1992~2023년)</t>
    <phoneticPr fontId="9" type="noConversion"/>
  </si>
  <si>
    <t>MC에너지</t>
  </si>
  <si>
    <t>(3) 2012~2017년 연도별·회사별 보급률</t>
    <phoneticPr fontId="11" type="noConversion"/>
  </si>
  <si>
    <t>(4) 2018~2023년 연도별·회사별 보급률</t>
    <phoneticPr fontId="11" type="noConversion"/>
  </si>
  <si>
    <t xml:space="preserve"> </t>
    <phoneticPr fontId="7" type="noConversion"/>
  </si>
  <si>
    <t>(4) 2018~2024년 연도별·회사별 보급률</t>
  </si>
  <si>
    <t>대성청정</t>
    <phoneticPr fontId="7" type="noConversion"/>
  </si>
  <si>
    <t>J   B</t>
  </si>
  <si>
    <t>대성청정 (계)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</si>
</sst>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76" formatCode="#,##0.0;[Red]#,##0.0"/>
    <numFmt numFmtId="177" formatCode="_-* #,##0.00_-;\-* #,##0.00_-;_-* &quot;-&quot;_-;_-@_-"/>
    <numFmt numFmtId="178" formatCode="#,##0.0;\-#,##0.0"/>
    <numFmt numFmtId="179" formatCode="#,##0;[Red]#,##0"/>
    <numFmt numFmtId="180" formatCode="0.0%"/>
  </numFmts>
  <fonts count="20" x14ac:knownFonts="1">
    <font>
      <sz val="11"/>
      <name val="돋움"/>
      <family val="3"/>
      <charset val="129"/>
    </font>
    <font>
      <sz val="11"/>
      <name val="돋움"/>
      <family val="3"/>
      <charset val="129"/>
    </font>
    <font>
      <sz val="6"/>
      <name val="굴림"/>
      <family val="3"/>
      <charset val="129"/>
    </font>
    <font>
      <sz val="5"/>
      <name val="굴림"/>
      <family val="3"/>
      <charset val="129"/>
    </font>
    <font>
      <sz val="6"/>
      <name val="Book Antiqua"/>
      <family val="1"/>
    </font>
    <font>
      <sz val="6.5"/>
      <name val="굴림"/>
      <family val="3"/>
      <charset val="129"/>
    </font>
    <font>
      <sz val="11"/>
      <color indexed="8"/>
      <name val="맑은 고딕"/>
      <family val="3"/>
      <charset val="129"/>
    </font>
    <font>
      <sz val="8"/>
      <name val="돋움"/>
      <family val="3"/>
      <charset val="129"/>
    </font>
    <font>
      <sz val="6.5"/>
      <name val="Book Antiqua"/>
      <family val="1"/>
    </font>
    <font>
      <sz val="12"/>
      <name val="바탕체"/>
      <family val="1"/>
      <charset val="129"/>
    </font>
    <font>
      <b/>
      <sz val="10"/>
      <name val="굴림"/>
      <family val="3"/>
      <charset val="129"/>
    </font>
    <font>
      <sz val="11"/>
      <name val="굴림체"/>
      <family val="3"/>
      <charset val="129"/>
    </font>
    <font>
      <u/>
      <sz val="11"/>
      <color indexed="20"/>
      <name val="돋움"/>
      <family val="3"/>
      <charset val="129"/>
    </font>
    <font>
      <sz val="8"/>
      <name val="바탕"/>
      <family val="1"/>
      <charset val="129"/>
    </font>
    <font>
      <sz val="6.5"/>
      <color rgb="FFFF0000"/>
      <name val="굴림"/>
      <family val="3"/>
      <charset val="129"/>
    </font>
    <font>
      <b/>
      <sz val="12"/>
      <name val="굴림"/>
      <family val="3"/>
      <charset val="129"/>
    </font>
    <font>
      <sz val="10"/>
      <name val="Century Gothic"/>
      <family val="2"/>
    </font>
    <font>
      <b/>
      <sz val="5"/>
      <name val="굴림"/>
      <family val="3"/>
      <charset val="129"/>
    </font>
    <font>
      <sz val="8"/>
      <name val="맑은 고딕"/>
      <family val="3"/>
      <charset val="129"/>
    </font>
    <font>
      <u/>
      <sz val="11"/>
      <color indexed="36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60">
    <border>
      <left/>
      <right/>
      <top/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10">
    <xf numFmtId="0" fontId="0" fillId="0" borderId="0"/>
    <xf numFmtId="0" fontId="1" fillId="0" borderId="0"/>
    <xf numFmtId="41" fontId="1" fillId="0" borderId="0" applyFont="0" applyFill="0" applyBorder="0" applyAlignment="0" applyProtection="0"/>
    <xf numFmtId="0" fontId="1" fillId="0" borderId="0"/>
    <xf numFmtId="41" fontId="6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37" fontId="9" fillId="0" borderId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47">
    <xf numFmtId="0" fontId="0" fillId="0" borderId="0" xfId="0"/>
    <xf numFmtId="0" fontId="2" fillId="0" borderId="0" xfId="1" applyFont="1" applyAlignment="1">
      <alignment vertical="center" shrinkToFit="1"/>
    </xf>
    <xf numFmtId="41" fontId="3" fillId="0" borderId="0" xfId="2" applyFont="1" applyFill="1" applyAlignment="1">
      <alignment vertical="center" shrinkToFit="1"/>
    </xf>
    <xf numFmtId="0" fontId="2" fillId="0" borderId="0" xfId="3" applyFont="1" applyAlignment="1">
      <alignment vertical="center" shrinkToFit="1"/>
    </xf>
    <xf numFmtId="0" fontId="4" fillId="0" borderId="0" xfId="0" applyFont="1" applyAlignment="1">
      <alignment vertical="center"/>
    </xf>
    <xf numFmtId="0" fontId="5" fillId="0" borderId="0" xfId="1" applyFont="1" applyAlignment="1">
      <alignment vertical="center" shrinkToFit="1"/>
    </xf>
    <xf numFmtId="41" fontId="5" fillId="0" borderId="0" xfId="1" applyNumberFormat="1" applyFont="1" applyAlignment="1">
      <alignment vertical="center" shrinkToFit="1"/>
    </xf>
    <xf numFmtId="41" fontId="4" fillId="0" borderId="0" xfId="2" applyFont="1" applyFill="1" applyAlignment="1">
      <alignment vertical="center"/>
    </xf>
    <xf numFmtId="177" fontId="4" fillId="0" borderId="0" xfId="2" applyNumberFormat="1" applyFont="1" applyFill="1" applyAlignment="1">
      <alignment vertical="center"/>
    </xf>
    <xf numFmtId="41" fontId="2" fillId="0" borderId="0" xfId="4" applyFont="1" applyFill="1" applyAlignment="1">
      <alignment vertical="center" shrinkToFit="1"/>
    </xf>
    <xf numFmtId="41" fontId="2" fillId="0" borderId="0" xfId="2" applyFont="1" applyFill="1" applyBorder="1" applyAlignment="1" applyProtection="1">
      <alignment vertical="center" shrinkToFit="1"/>
    </xf>
    <xf numFmtId="178" fontId="8" fillId="0" borderId="1" xfId="2" applyNumberFormat="1" applyFont="1" applyFill="1" applyBorder="1" applyAlignment="1" applyProtection="1">
      <alignment vertical="center" shrinkToFit="1"/>
    </xf>
    <xf numFmtId="178" fontId="8" fillId="0" borderId="2" xfId="2" applyNumberFormat="1" applyFont="1" applyFill="1" applyBorder="1" applyAlignment="1" applyProtection="1">
      <alignment vertical="center" shrinkToFit="1"/>
    </xf>
    <xf numFmtId="178" fontId="8" fillId="0" borderId="5" xfId="2" applyNumberFormat="1" applyFont="1" applyFill="1" applyBorder="1" applyAlignment="1" applyProtection="1">
      <alignment vertical="center" shrinkToFit="1"/>
    </xf>
    <xf numFmtId="178" fontId="8" fillId="0" borderId="6" xfId="2" applyNumberFormat="1" applyFont="1" applyFill="1" applyBorder="1" applyAlignment="1" applyProtection="1">
      <alignment vertical="center" shrinkToFit="1"/>
    </xf>
    <xf numFmtId="178" fontId="8" fillId="0" borderId="9" xfId="2" applyNumberFormat="1" applyFont="1" applyFill="1" applyBorder="1" applyAlignment="1" applyProtection="1">
      <alignment vertical="center" shrinkToFit="1"/>
    </xf>
    <xf numFmtId="178" fontId="8" fillId="0" borderId="10" xfId="2" applyNumberFormat="1" applyFont="1" applyFill="1" applyBorder="1" applyAlignment="1" applyProtection="1">
      <alignment vertical="center" shrinkToFit="1"/>
    </xf>
    <xf numFmtId="178" fontId="8" fillId="0" borderId="13" xfId="2" applyNumberFormat="1" applyFont="1" applyFill="1" applyBorder="1" applyAlignment="1" applyProtection="1">
      <alignment vertical="center" shrinkToFit="1"/>
    </xf>
    <xf numFmtId="178" fontId="8" fillId="0" borderId="15" xfId="2" applyNumberFormat="1" applyFont="1" applyFill="1" applyBorder="1" applyAlignment="1" applyProtection="1">
      <alignment vertical="center" shrinkToFit="1"/>
    </xf>
    <xf numFmtId="178" fontId="8" fillId="0" borderId="16" xfId="2" applyNumberFormat="1" applyFont="1" applyFill="1" applyBorder="1" applyAlignment="1" applyProtection="1">
      <alignment vertical="center" shrinkToFit="1"/>
    </xf>
    <xf numFmtId="178" fontId="8" fillId="0" borderId="19" xfId="2" applyNumberFormat="1" applyFont="1" applyFill="1" applyBorder="1" applyAlignment="1" applyProtection="1">
      <alignment vertical="center" shrinkToFit="1"/>
    </xf>
    <xf numFmtId="178" fontId="8" fillId="0" borderId="20" xfId="2" applyNumberFormat="1" applyFont="1" applyFill="1" applyBorder="1" applyAlignment="1" applyProtection="1">
      <alignment vertical="center" shrinkToFit="1"/>
    </xf>
    <xf numFmtId="178" fontId="8" fillId="0" borderId="5" xfId="2" applyNumberFormat="1" applyFont="1" applyFill="1" applyBorder="1" applyAlignment="1">
      <alignment vertical="center" shrinkToFit="1"/>
    </xf>
    <xf numFmtId="178" fontId="8" fillId="0" borderId="6" xfId="2" applyNumberFormat="1" applyFont="1" applyFill="1" applyBorder="1" applyAlignment="1">
      <alignment vertical="center" shrinkToFit="1"/>
    </xf>
    <xf numFmtId="178" fontId="8" fillId="0" borderId="24" xfId="2" applyNumberFormat="1" applyFont="1" applyFill="1" applyBorder="1" applyAlignment="1" applyProtection="1">
      <alignment vertical="center" shrinkToFit="1"/>
    </xf>
    <xf numFmtId="178" fontId="8" fillId="0" borderId="25" xfId="2" applyNumberFormat="1" applyFont="1" applyFill="1" applyBorder="1" applyAlignment="1" applyProtection="1">
      <alignment vertical="center" shrinkToFit="1"/>
    </xf>
    <xf numFmtId="178" fontId="8" fillId="0" borderId="26" xfId="2" applyNumberFormat="1" applyFont="1" applyFill="1" applyBorder="1" applyAlignment="1" applyProtection="1">
      <alignment vertical="center" shrinkToFit="1"/>
    </xf>
    <xf numFmtId="178" fontId="8" fillId="0" borderId="27" xfId="2" applyNumberFormat="1" applyFont="1" applyFill="1" applyBorder="1" applyAlignment="1" applyProtection="1">
      <alignment vertical="center" shrinkToFit="1"/>
    </xf>
    <xf numFmtId="178" fontId="8" fillId="0" borderId="29" xfId="2" applyNumberFormat="1" applyFont="1" applyFill="1" applyBorder="1" applyAlignment="1" applyProtection="1">
      <alignment vertical="center" shrinkToFit="1"/>
    </xf>
    <xf numFmtId="178" fontId="8" fillId="0" borderId="30" xfId="2" applyNumberFormat="1" applyFont="1" applyFill="1" applyBorder="1" applyAlignment="1" applyProtection="1">
      <alignment vertical="center" shrinkToFit="1"/>
    </xf>
    <xf numFmtId="178" fontId="8" fillId="0" borderId="4" xfId="2" applyNumberFormat="1" applyFont="1" applyFill="1" applyBorder="1" applyAlignment="1" applyProtection="1">
      <alignment vertical="center" shrinkToFit="1"/>
    </xf>
    <xf numFmtId="178" fontId="8" fillId="0" borderId="3" xfId="2" applyNumberFormat="1" applyFont="1" applyFill="1" applyBorder="1" applyAlignment="1" applyProtection="1">
      <alignment vertical="center" shrinkToFit="1"/>
    </xf>
    <xf numFmtId="179" fontId="8" fillId="0" borderId="1" xfId="2" applyNumberFormat="1" applyFont="1" applyFill="1" applyBorder="1" applyAlignment="1" applyProtection="1">
      <alignment vertical="center" shrinkToFit="1"/>
    </xf>
    <xf numFmtId="179" fontId="8" fillId="0" borderId="4" xfId="2" applyNumberFormat="1" applyFont="1" applyFill="1" applyBorder="1" applyAlignment="1" applyProtection="1">
      <alignment vertical="center" shrinkToFit="1"/>
    </xf>
    <xf numFmtId="179" fontId="8" fillId="0" borderId="2" xfId="2" applyNumberFormat="1" applyFont="1" applyFill="1" applyBorder="1" applyAlignment="1" applyProtection="1">
      <alignment vertical="center" shrinkToFit="1"/>
    </xf>
    <xf numFmtId="179" fontId="8" fillId="0" borderId="3" xfId="2" applyNumberFormat="1" applyFont="1" applyFill="1" applyBorder="1" applyAlignment="1" applyProtection="1">
      <alignment vertical="center" shrinkToFit="1"/>
    </xf>
    <xf numFmtId="178" fontId="8" fillId="0" borderId="8" xfId="2" applyNumberFormat="1" applyFont="1" applyFill="1" applyBorder="1" applyAlignment="1" applyProtection="1">
      <alignment vertical="center" shrinkToFit="1"/>
    </xf>
    <xf numFmtId="178" fontId="8" fillId="0" borderId="7" xfId="2" applyNumberFormat="1" applyFont="1" applyFill="1" applyBorder="1" applyAlignment="1" applyProtection="1">
      <alignment vertical="center" shrinkToFit="1"/>
    </xf>
    <xf numFmtId="179" fontId="8" fillId="0" borderId="5" xfId="2" applyNumberFormat="1" applyFont="1" applyFill="1" applyBorder="1" applyAlignment="1" applyProtection="1">
      <alignment vertical="center" shrinkToFit="1"/>
    </xf>
    <xf numFmtId="179" fontId="8" fillId="0" borderId="8" xfId="2" applyNumberFormat="1" applyFont="1" applyFill="1" applyBorder="1" applyAlignment="1" applyProtection="1">
      <alignment vertical="center" shrinkToFit="1"/>
    </xf>
    <xf numFmtId="179" fontId="8" fillId="0" borderId="6" xfId="2" applyNumberFormat="1" applyFont="1" applyFill="1" applyBorder="1" applyAlignment="1" applyProtection="1">
      <alignment vertical="center" shrinkToFit="1"/>
    </xf>
    <xf numFmtId="179" fontId="8" fillId="0" borderId="7" xfId="2" applyNumberFormat="1" applyFont="1" applyFill="1" applyBorder="1" applyAlignment="1" applyProtection="1">
      <alignment vertical="center" shrinkToFit="1"/>
    </xf>
    <xf numFmtId="178" fontId="8" fillId="0" borderId="12" xfId="2" applyNumberFormat="1" applyFont="1" applyFill="1" applyBorder="1" applyAlignment="1" applyProtection="1">
      <alignment vertical="center" shrinkToFit="1"/>
    </xf>
    <xf numFmtId="178" fontId="8" fillId="0" borderId="11" xfId="2" applyNumberFormat="1" applyFont="1" applyFill="1" applyBorder="1" applyAlignment="1" applyProtection="1">
      <alignment vertical="center" shrinkToFit="1"/>
    </xf>
    <xf numFmtId="179" fontId="8" fillId="0" borderId="9" xfId="2" applyNumberFormat="1" applyFont="1" applyFill="1" applyBorder="1" applyAlignment="1" applyProtection="1">
      <alignment vertical="center" shrinkToFit="1"/>
    </xf>
    <xf numFmtId="179" fontId="8" fillId="0" borderId="12" xfId="2" applyNumberFormat="1" applyFont="1" applyFill="1" applyBorder="1" applyAlignment="1" applyProtection="1">
      <alignment vertical="center" shrinkToFit="1"/>
    </xf>
    <xf numFmtId="179" fontId="8" fillId="0" borderId="10" xfId="2" applyNumberFormat="1" applyFont="1" applyFill="1" applyBorder="1" applyAlignment="1" applyProtection="1">
      <alignment vertical="center" shrinkToFit="1"/>
    </xf>
    <xf numFmtId="179" fontId="8" fillId="0" borderId="11" xfId="2" applyNumberFormat="1" applyFont="1" applyFill="1" applyBorder="1" applyAlignment="1" applyProtection="1">
      <alignment vertical="center" shrinkToFit="1"/>
    </xf>
    <xf numFmtId="178" fontId="8" fillId="0" borderId="36" xfId="2" applyNumberFormat="1" applyFont="1" applyFill="1" applyBorder="1" applyAlignment="1" applyProtection="1">
      <alignment vertical="center" shrinkToFit="1"/>
    </xf>
    <xf numFmtId="178" fontId="8" fillId="0" borderId="0" xfId="2" applyNumberFormat="1" applyFont="1" applyFill="1" applyBorder="1" applyAlignment="1" applyProtection="1">
      <alignment vertical="center" shrinkToFit="1"/>
    </xf>
    <xf numFmtId="179" fontId="8" fillId="0" borderId="14" xfId="2" applyNumberFormat="1" applyFont="1" applyFill="1" applyBorder="1" applyAlignment="1" applyProtection="1">
      <alignment vertical="center" shrinkToFit="1"/>
    </xf>
    <xf numFmtId="178" fontId="8" fillId="0" borderId="43" xfId="2" applyNumberFormat="1" applyFont="1" applyFill="1" applyBorder="1" applyAlignment="1" applyProtection="1">
      <alignment vertical="center" shrinkToFit="1"/>
    </xf>
    <xf numFmtId="178" fontId="8" fillId="0" borderId="44" xfId="2" applyNumberFormat="1" applyFont="1" applyFill="1" applyBorder="1" applyAlignment="1" applyProtection="1">
      <alignment vertical="center" shrinkToFit="1"/>
    </xf>
    <xf numFmtId="179" fontId="8" fillId="0" borderId="15" xfId="2" applyNumberFormat="1" applyFont="1" applyFill="1" applyBorder="1" applyAlignment="1" applyProtection="1">
      <alignment vertical="center" shrinkToFit="1"/>
    </xf>
    <xf numFmtId="179" fontId="8" fillId="0" borderId="43" xfId="2" applyNumberFormat="1" applyFont="1" applyFill="1" applyBorder="1" applyAlignment="1" applyProtection="1">
      <alignment vertical="center" shrinkToFit="1"/>
    </xf>
    <xf numFmtId="179" fontId="8" fillId="0" borderId="16" xfId="2" applyNumberFormat="1" applyFont="1" applyFill="1" applyBorder="1" applyAlignment="1" applyProtection="1">
      <alignment vertical="center" shrinkToFit="1"/>
    </xf>
    <xf numFmtId="179" fontId="8" fillId="0" borderId="17" xfId="2" applyNumberFormat="1" applyFont="1" applyFill="1" applyBorder="1" applyAlignment="1" applyProtection="1">
      <alignment vertical="center" shrinkToFit="1"/>
    </xf>
    <xf numFmtId="178" fontId="8" fillId="0" borderId="46" xfId="2" applyNumberFormat="1" applyFont="1" applyFill="1" applyBorder="1" applyAlignment="1" applyProtection="1">
      <alignment vertical="center" shrinkToFit="1"/>
    </xf>
    <xf numFmtId="178" fontId="8" fillId="0" borderId="47" xfId="2" applyNumberFormat="1" applyFont="1" applyFill="1" applyBorder="1" applyAlignment="1" applyProtection="1">
      <alignment vertical="center" shrinkToFit="1"/>
    </xf>
    <xf numFmtId="179" fontId="8" fillId="0" borderId="19" xfId="2" applyNumberFormat="1" applyFont="1" applyFill="1" applyBorder="1" applyAlignment="1" applyProtection="1">
      <alignment vertical="center" shrinkToFit="1"/>
    </xf>
    <xf numFmtId="179" fontId="8" fillId="0" borderId="46" xfId="2" applyNumberFormat="1" applyFont="1" applyFill="1" applyBorder="1" applyAlignment="1" applyProtection="1">
      <alignment vertical="center" shrinkToFit="1"/>
    </xf>
    <xf numFmtId="179" fontId="8" fillId="0" borderId="20" xfId="2" applyNumberFormat="1" applyFont="1" applyFill="1" applyBorder="1" applyAlignment="1" applyProtection="1">
      <alignment vertical="center" shrinkToFit="1"/>
    </xf>
    <xf numFmtId="179" fontId="8" fillId="0" borderId="21" xfId="2" applyNumberFormat="1" applyFont="1" applyFill="1" applyBorder="1" applyAlignment="1" applyProtection="1">
      <alignment vertical="center" shrinkToFit="1"/>
    </xf>
    <xf numFmtId="178" fontId="8" fillId="0" borderId="48" xfId="2" applyNumberFormat="1" applyFont="1" applyFill="1" applyBorder="1" applyAlignment="1" applyProtection="1">
      <alignment vertical="center" shrinkToFit="1"/>
    </xf>
    <xf numFmtId="178" fontId="8" fillId="0" borderId="8" xfId="2" applyNumberFormat="1" applyFont="1" applyFill="1" applyBorder="1" applyAlignment="1">
      <alignment vertical="center" shrinkToFit="1"/>
    </xf>
    <xf numFmtId="178" fontId="8" fillId="0" borderId="48" xfId="2" applyNumberFormat="1" applyFont="1" applyFill="1" applyBorder="1" applyAlignment="1">
      <alignment vertical="center" shrinkToFit="1"/>
    </xf>
    <xf numFmtId="179" fontId="8" fillId="0" borderId="5" xfId="2" applyNumberFormat="1" applyFont="1" applyFill="1" applyBorder="1" applyAlignment="1">
      <alignment vertical="center" shrinkToFit="1"/>
    </xf>
    <xf numFmtId="179" fontId="8" fillId="0" borderId="8" xfId="2" applyNumberFormat="1" applyFont="1" applyFill="1" applyBorder="1" applyAlignment="1">
      <alignment vertical="center" shrinkToFit="1"/>
    </xf>
    <xf numFmtId="179" fontId="8" fillId="0" borderId="6" xfId="2" applyNumberFormat="1" applyFont="1" applyFill="1" applyBorder="1" applyAlignment="1">
      <alignment vertical="center" shrinkToFit="1"/>
    </xf>
    <xf numFmtId="179" fontId="8" fillId="0" borderId="7" xfId="2" applyNumberFormat="1" applyFont="1" applyFill="1" applyBorder="1" applyAlignment="1">
      <alignment vertical="center" shrinkToFit="1"/>
    </xf>
    <xf numFmtId="178" fontId="8" fillId="0" borderId="49" xfId="2" applyNumberFormat="1" applyFont="1" applyFill="1" applyBorder="1" applyAlignment="1" applyProtection="1">
      <alignment vertical="center" shrinkToFit="1"/>
    </xf>
    <xf numFmtId="178" fontId="8" fillId="0" borderId="50" xfId="2" applyNumberFormat="1" applyFont="1" applyFill="1" applyBorder="1" applyAlignment="1" applyProtection="1">
      <alignment vertical="center" shrinkToFit="1"/>
    </xf>
    <xf numFmtId="179" fontId="8" fillId="0" borderId="24" xfId="2" applyNumberFormat="1" applyFont="1" applyFill="1" applyBorder="1" applyAlignment="1" applyProtection="1">
      <alignment vertical="center" shrinkToFit="1"/>
    </xf>
    <xf numFmtId="179" fontId="8" fillId="0" borderId="49" xfId="2" applyNumberFormat="1" applyFont="1" applyFill="1" applyBorder="1" applyAlignment="1" applyProtection="1">
      <alignment vertical="center" shrinkToFit="1"/>
    </xf>
    <xf numFmtId="179" fontId="8" fillId="0" borderId="25" xfId="2" applyNumberFormat="1" applyFont="1" applyFill="1" applyBorder="1" applyAlignment="1" applyProtection="1">
      <alignment vertical="center" shrinkToFit="1"/>
    </xf>
    <xf numFmtId="179" fontId="8" fillId="0" borderId="22" xfId="2" applyNumberFormat="1" applyFont="1" applyFill="1" applyBorder="1" applyAlignment="1" applyProtection="1">
      <alignment vertical="center" shrinkToFit="1"/>
    </xf>
    <xf numFmtId="178" fontId="8" fillId="0" borderId="51" xfId="2" applyNumberFormat="1" applyFont="1" applyFill="1" applyBorder="1" applyAlignment="1" applyProtection="1">
      <alignment vertical="center" shrinkToFit="1"/>
    </xf>
    <xf numFmtId="178" fontId="8" fillId="0" borderId="52" xfId="2" applyNumberFormat="1" applyFont="1" applyFill="1" applyBorder="1" applyAlignment="1" applyProtection="1">
      <alignment vertical="center" shrinkToFit="1"/>
    </xf>
    <xf numFmtId="179" fontId="8" fillId="0" borderId="26" xfId="2" applyNumberFormat="1" applyFont="1" applyFill="1" applyBorder="1" applyAlignment="1" applyProtection="1">
      <alignment vertical="center" shrinkToFit="1"/>
    </xf>
    <xf numFmtId="179" fontId="8" fillId="0" borderId="51" xfId="2" applyNumberFormat="1" applyFont="1" applyFill="1" applyBorder="1" applyAlignment="1" applyProtection="1">
      <alignment vertical="center" shrinkToFit="1"/>
    </xf>
    <xf numFmtId="179" fontId="8" fillId="0" borderId="27" xfId="2" applyNumberFormat="1" applyFont="1" applyFill="1" applyBorder="1" applyAlignment="1" applyProtection="1">
      <alignment vertical="center" shrinkToFit="1"/>
    </xf>
    <xf numFmtId="179" fontId="8" fillId="0" borderId="28" xfId="2" applyNumberFormat="1" applyFont="1" applyFill="1" applyBorder="1" applyAlignment="1" applyProtection="1">
      <alignment vertical="center" shrinkToFit="1"/>
    </xf>
    <xf numFmtId="176" fontId="8" fillId="0" borderId="5" xfId="2" applyNumberFormat="1" applyFont="1" applyFill="1" applyBorder="1" applyAlignment="1" applyProtection="1">
      <alignment vertical="center" shrinkToFit="1"/>
    </xf>
    <xf numFmtId="176" fontId="8" fillId="0" borderId="24" xfId="2" applyNumberFormat="1" applyFont="1" applyFill="1" applyBorder="1" applyAlignment="1" applyProtection="1">
      <alignment vertical="center" shrinkToFit="1"/>
    </xf>
    <xf numFmtId="178" fontId="8" fillId="0" borderId="53" xfId="2" applyNumberFormat="1" applyFont="1" applyFill="1" applyBorder="1" applyAlignment="1" applyProtection="1">
      <alignment vertical="center" shrinkToFit="1"/>
    </xf>
    <xf numFmtId="178" fontId="8" fillId="0" borderId="54" xfId="2" applyNumberFormat="1" applyFont="1" applyFill="1" applyBorder="1" applyAlignment="1" applyProtection="1">
      <alignment vertical="center" shrinkToFit="1"/>
    </xf>
    <xf numFmtId="179" fontId="8" fillId="0" borderId="29" xfId="2" applyNumberFormat="1" applyFont="1" applyFill="1" applyBorder="1" applyAlignment="1" applyProtection="1">
      <alignment vertical="center" shrinkToFit="1"/>
    </xf>
    <xf numFmtId="179" fontId="8" fillId="0" borderId="53" xfId="2" applyNumberFormat="1" applyFont="1" applyFill="1" applyBorder="1" applyAlignment="1" applyProtection="1">
      <alignment vertical="center" shrinkToFit="1"/>
    </xf>
    <xf numFmtId="179" fontId="8" fillId="0" borderId="30" xfId="2" applyNumberFormat="1" applyFont="1" applyFill="1" applyBorder="1" applyAlignment="1" applyProtection="1">
      <alignment vertical="center" shrinkToFit="1"/>
    </xf>
    <xf numFmtId="179" fontId="8" fillId="0" borderId="23" xfId="2" applyNumberFormat="1" applyFont="1" applyFill="1" applyBorder="1" applyAlignment="1" applyProtection="1">
      <alignment vertical="center" shrinkToFit="1"/>
    </xf>
    <xf numFmtId="178" fontId="8" fillId="0" borderId="55" xfId="2" applyNumberFormat="1" applyFont="1" applyFill="1" applyBorder="1" applyAlignment="1" applyProtection="1">
      <alignment vertical="center" shrinkToFit="1"/>
    </xf>
    <xf numFmtId="41" fontId="5" fillId="0" borderId="0" xfId="8" applyFont="1" applyFill="1" applyAlignment="1">
      <alignment vertical="center" shrinkToFit="1"/>
    </xf>
    <xf numFmtId="178" fontId="8" fillId="0" borderId="17" xfId="2" applyNumberFormat="1" applyFont="1" applyFill="1" applyBorder="1" applyAlignment="1" applyProtection="1">
      <alignment vertical="center" shrinkToFit="1"/>
    </xf>
    <xf numFmtId="178" fontId="8" fillId="0" borderId="28" xfId="2" applyNumberFormat="1" applyFont="1" applyFill="1" applyBorder="1" applyAlignment="1" applyProtection="1">
      <alignment vertical="center" shrinkToFit="1"/>
    </xf>
    <xf numFmtId="178" fontId="8" fillId="0" borderId="23" xfId="2" applyNumberFormat="1" applyFont="1" applyFill="1" applyBorder="1" applyAlignment="1" applyProtection="1">
      <alignment vertical="center" shrinkToFit="1"/>
    </xf>
    <xf numFmtId="0" fontId="5" fillId="0" borderId="20" xfId="3" quotePrefix="1" applyFont="1" applyBorder="1" applyAlignment="1">
      <alignment horizontal="center" vertical="center" shrinkToFit="1"/>
    </xf>
    <xf numFmtId="0" fontId="5" fillId="0" borderId="5" xfId="3" applyFont="1" applyBorder="1" applyAlignment="1">
      <alignment horizontal="center" vertical="center" shrinkToFit="1"/>
    </xf>
    <xf numFmtId="0" fontId="5" fillId="0" borderId="0" xfId="5" applyFont="1" applyAlignment="1">
      <alignment horizontal="left" vertical="center"/>
    </xf>
    <xf numFmtId="0" fontId="2" fillId="0" borderId="0" xfId="3" applyFont="1" applyAlignment="1">
      <alignment horizontal="center" vertical="center" shrinkToFit="1"/>
    </xf>
    <xf numFmtId="0" fontId="2" fillId="0" borderId="0" xfId="0" applyFont="1" applyAlignment="1">
      <alignment vertical="center" shrinkToFit="1"/>
    </xf>
    <xf numFmtId="0" fontId="10" fillId="0" borderId="0" xfId="3" applyFont="1" applyAlignment="1">
      <alignment horizontal="left" vertical="center"/>
    </xf>
    <xf numFmtId="0" fontId="10" fillId="0" borderId="0" xfId="1" applyFont="1" applyAlignment="1">
      <alignment horizontal="left" vertical="center"/>
    </xf>
    <xf numFmtId="0" fontId="10" fillId="0" borderId="36" xfId="3" applyFont="1" applyBorder="1" applyAlignment="1">
      <alignment horizontal="center" vertical="center" shrinkToFit="1"/>
    </xf>
    <xf numFmtId="0" fontId="10" fillId="0" borderId="0" xfId="3" applyFont="1" applyAlignment="1">
      <alignment horizontal="center" vertical="center" shrinkToFit="1"/>
    </xf>
    <xf numFmtId="0" fontId="5" fillId="0" borderId="21" xfId="3" quotePrefix="1" applyFont="1" applyBorder="1" applyAlignment="1">
      <alignment horizontal="center" vertical="center" shrinkToFit="1"/>
    </xf>
    <xf numFmtId="0" fontId="5" fillId="0" borderId="4" xfId="3" quotePrefix="1" applyFont="1" applyBorder="1" applyAlignment="1">
      <alignment horizontal="center" vertical="center" shrinkToFit="1"/>
    </xf>
    <xf numFmtId="0" fontId="5" fillId="0" borderId="1" xfId="3" quotePrefix="1" applyFont="1" applyBorder="1" applyAlignment="1">
      <alignment horizontal="center" vertical="center" shrinkToFit="1"/>
    </xf>
    <xf numFmtId="0" fontId="5" fillId="0" borderId="47" xfId="3" quotePrefix="1" applyFont="1" applyBorder="1" applyAlignment="1">
      <alignment horizontal="center" vertical="center" shrinkToFit="1"/>
    </xf>
    <xf numFmtId="0" fontId="5" fillId="0" borderId="9" xfId="6" applyFont="1" applyBorder="1" applyAlignment="1">
      <alignment horizontal="center" vertical="center" shrinkToFit="1"/>
    </xf>
    <xf numFmtId="0" fontId="5" fillId="0" borderId="5" xfId="6" applyFont="1" applyBorder="1" applyAlignment="1">
      <alignment horizontal="center" vertical="center" shrinkToFit="1"/>
    </xf>
    <xf numFmtId="0" fontId="5" fillId="0" borderId="26" xfId="6" applyFont="1" applyBorder="1" applyAlignment="1">
      <alignment horizontal="center" vertical="center" shrinkToFit="1"/>
    </xf>
    <xf numFmtId="0" fontId="5" fillId="0" borderId="24" xfId="6" applyFont="1" applyBorder="1" applyAlignment="1">
      <alignment horizontal="center" vertical="center" shrinkToFit="1"/>
    </xf>
    <xf numFmtId="0" fontId="5" fillId="0" borderId="28" xfId="6" applyFont="1" applyBorder="1" applyAlignment="1">
      <alignment horizontal="center" vertical="center" shrinkToFit="1"/>
    </xf>
    <xf numFmtId="0" fontId="5" fillId="0" borderId="23" xfId="6" applyFont="1" applyBorder="1" applyAlignment="1">
      <alignment horizontal="center" vertical="center" shrinkToFit="1"/>
    </xf>
    <xf numFmtId="0" fontId="5" fillId="0" borderId="29" xfId="6" applyFont="1" applyBorder="1" applyAlignment="1">
      <alignment horizontal="center" vertical="center" shrinkToFit="1"/>
    </xf>
    <xf numFmtId="0" fontId="5" fillId="0" borderId="21" xfId="6" applyFont="1" applyBorder="1" applyAlignment="1">
      <alignment horizontal="center" vertical="center" shrinkToFit="1"/>
    </xf>
    <xf numFmtId="0" fontId="5" fillId="0" borderId="19" xfId="6" applyFont="1" applyBorder="1" applyAlignment="1">
      <alignment horizontal="center" vertical="center" shrinkToFit="1"/>
    </xf>
    <xf numFmtId="0" fontId="5" fillId="0" borderId="14" xfId="6" applyFont="1" applyBorder="1" applyAlignment="1">
      <alignment horizontal="left" vertical="center" shrinkToFit="1"/>
    </xf>
    <xf numFmtId="0" fontId="5" fillId="0" borderId="14" xfId="6" applyFont="1" applyBorder="1" applyAlignment="1">
      <alignment vertical="center" shrinkToFit="1"/>
    </xf>
    <xf numFmtId="41" fontId="2" fillId="0" borderId="0" xfId="3" applyNumberFormat="1" applyFont="1" applyAlignment="1">
      <alignment vertical="center" shrinkToFit="1"/>
    </xf>
    <xf numFmtId="0" fontId="5" fillId="0" borderId="3" xfId="3" quotePrefix="1" applyFont="1" applyBorder="1" applyAlignment="1">
      <alignment horizontal="center" vertical="center" shrinkToFit="1"/>
    </xf>
    <xf numFmtId="0" fontId="5" fillId="0" borderId="2" xfId="3" quotePrefix="1" applyFont="1" applyBorder="1" applyAlignment="1">
      <alignment horizontal="center" vertical="center" shrinkToFit="1"/>
    </xf>
    <xf numFmtId="0" fontId="14" fillId="0" borderId="0" xfId="5" applyFont="1" applyAlignment="1">
      <alignment horizontal="left" vertical="center"/>
    </xf>
    <xf numFmtId="37" fontId="15" fillId="0" borderId="0" xfId="7" applyFont="1" applyAlignment="1">
      <alignment horizontal="left" vertical="center"/>
    </xf>
    <xf numFmtId="0" fontId="5" fillId="0" borderId="0" xfId="5" applyFont="1" applyAlignment="1">
      <alignment vertical="center"/>
    </xf>
    <xf numFmtId="0" fontId="10" fillId="0" borderId="36" xfId="3" applyFont="1" applyBorder="1" applyAlignment="1">
      <alignment horizontal="left" vertical="center"/>
    </xf>
    <xf numFmtId="0" fontId="5" fillId="0" borderId="21" xfId="5" applyFont="1" applyBorder="1" applyAlignment="1">
      <alignment horizontal="center" vertical="center"/>
    </xf>
    <xf numFmtId="0" fontId="5" fillId="0" borderId="20" xfId="5" applyFont="1" applyBorder="1" applyAlignment="1">
      <alignment horizontal="center" vertical="center"/>
    </xf>
    <xf numFmtId="0" fontId="5" fillId="0" borderId="20" xfId="5" quotePrefix="1" applyFont="1" applyBorder="1" applyAlignment="1">
      <alignment horizontal="center" vertical="center"/>
    </xf>
    <xf numFmtId="0" fontId="5" fillId="0" borderId="19" xfId="3" quotePrefix="1" applyFont="1" applyBorder="1" applyAlignment="1">
      <alignment horizontal="center" vertical="center" shrinkToFit="1"/>
    </xf>
    <xf numFmtId="176" fontId="8" fillId="0" borderId="11" xfId="2" applyNumberFormat="1" applyFont="1" applyFill="1" applyBorder="1" applyAlignment="1" applyProtection="1">
      <alignment vertical="center" shrinkToFit="1"/>
    </xf>
    <xf numFmtId="176" fontId="8" fillId="0" borderId="10" xfId="2" applyNumberFormat="1" applyFont="1" applyFill="1" applyBorder="1" applyAlignment="1" applyProtection="1">
      <alignment vertical="center" shrinkToFit="1"/>
    </xf>
    <xf numFmtId="41" fontId="17" fillId="0" borderId="0" xfId="2" applyFont="1" applyFill="1" applyBorder="1" applyAlignment="1">
      <alignment horizontal="center" vertical="center"/>
    </xf>
    <xf numFmtId="41" fontId="5" fillId="0" borderId="0" xfId="2" applyFont="1" applyFill="1" applyAlignment="1">
      <alignment vertical="center" shrinkToFit="1"/>
    </xf>
    <xf numFmtId="0" fontId="5" fillId="0" borderId="23" xfId="3" applyFont="1" applyBorder="1" applyAlignment="1">
      <alignment horizontal="center" vertical="center" shrinkToFit="1"/>
    </xf>
    <xf numFmtId="176" fontId="8" fillId="0" borderId="7" xfId="2" applyNumberFormat="1" applyFont="1" applyFill="1" applyBorder="1" applyAlignment="1" applyProtection="1">
      <alignment vertical="center" shrinkToFit="1"/>
    </xf>
    <xf numFmtId="176" fontId="8" fillId="0" borderId="6" xfId="2" applyNumberFormat="1" applyFont="1" applyFill="1" applyBorder="1" applyAlignment="1" applyProtection="1">
      <alignment vertical="center" shrinkToFit="1"/>
    </xf>
    <xf numFmtId="0" fontId="5" fillId="0" borderId="26" xfId="3" applyFont="1" applyBorder="1" applyAlignment="1">
      <alignment horizontal="center" vertical="center" shrinkToFit="1"/>
    </xf>
    <xf numFmtId="176" fontId="8" fillId="0" borderId="28" xfId="2" applyNumberFormat="1" applyFont="1" applyFill="1" applyBorder="1" applyAlignment="1" applyProtection="1">
      <alignment vertical="center" shrinkToFit="1"/>
    </xf>
    <xf numFmtId="176" fontId="8" fillId="0" borderId="27" xfId="2" applyNumberFormat="1" applyFont="1" applyFill="1" applyBorder="1" applyAlignment="1" applyProtection="1">
      <alignment vertical="center" shrinkToFit="1"/>
    </xf>
    <xf numFmtId="0" fontId="5" fillId="0" borderId="24" xfId="3" applyFont="1" applyBorder="1" applyAlignment="1">
      <alignment horizontal="center" vertical="center" shrinkToFit="1"/>
    </xf>
    <xf numFmtId="176" fontId="8" fillId="0" borderId="22" xfId="2" applyNumberFormat="1" applyFont="1" applyFill="1" applyBorder="1" applyAlignment="1" applyProtection="1">
      <alignment vertical="center" shrinkToFit="1"/>
    </xf>
    <xf numFmtId="176" fontId="8" fillId="0" borderId="25" xfId="2" applyNumberFormat="1" applyFont="1" applyFill="1" applyBorder="1" applyAlignment="1" applyProtection="1">
      <alignment vertical="center" shrinkToFit="1"/>
    </xf>
    <xf numFmtId="0" fontId="5" fillId="0" borderId="22" xfId="3" applyFont="1" applyBorder="1" applyAlignment="1">
      <alignment horizontal="center" vertical="center" shrinkToFit="1"/>
    </xf>
    <xf numFmtId="176" fontId="8" fillId="0" borderId="17" xfId="2" applyNumberFormat="1" applyFont="1" applyFill="1" applyBorder="1" applyAlignment="1" applyProtection="1">
      <alignment vertical="center" shrinkToFit="1"/>
    </xf>
    <xf numFmtId="176" fontId="8" fillId="0" borderId="16" xfId="2" applyNumberFormat="1" applyFont="1" applyFill="1" applyBorder="1" applyAlignment="1" applyProtection="1">
      <alignment vertical="center" shrinkToFit="1"/>
    </xf>
    <xf numFmtId="0" fontId="5" fillId="0" borderId="28" xfId="3" applyFont="1" applyBorder="1" applyAlignment="1">
      <alignment horizontal="center" vertical="center" shrinkToFit="1"/>
    </xf>
    <xf numFmtId="0" fontId="5" fillId="0" borderId="29" xfId="3" applyFont="1" applyBorder="1" applyAlignment="1">
      <alignment horizontal="center" vertical="center" shrinkToFit="1"/>
    </xf>
    <xf numFmtId="176" fontId="8" fillId="0" borderId="23" xfId="2" applyNumberFormat="1" applyFont="1" applyFill="1" applyBorder="1" applyAlignment="1" applyProtection="1">
      <alignment vertical="center" shrinkToFit="1"/>
    </xf>
    <xf numFmtId="176" fontId="8" fillId="0" borderId="30" xfId="2" applyNumberFormat="1" applyFont="1" applyFill="1" applyBorder="1" applyAlignment="1" applyProtection="1">
      <alignment vertical="center" shrinkToFit="1"/>
    </xf>
    <xf numFmtId="176" fontId="8" fillId="0" borderId="7" xfId="2" applyNumberFormat="1" applyFont="1" applyFill="1" applyBorder="1" applyAlignment="1">
      <alignment vertical="center" shrinkToFit="1"/>
    </xf>
    <xf numFmtId="176" fontId="8" fillId="0" borderId="6" xfId="2" applyNumberFormat="1" applyFont="1" applyFill="1" applyBorder="1" applyAlignment="1">
      <alignment vertical="center" shrinkToFit="1"/>
    </xf>
    <xf numFmtId="0" fontId="5" fillId="0" borderId="21" xfId="3" applyFont="1" applyBorder="1" applyAlignment="1">
      <alignment horizontal="center" vertical="center" shrinkToFit="1"/>
    </xf>
    <xf numFmtId="0" fontId="5" fillId="0" borderId="19" xfId="3" applyFont="1" applyBorder="1" applyAlignment="1">
      <alignment horizontal="center" vertical="center" shrinkToFit="1"/>
    </xf>
    <xf numFmtId="176" fontId="8" fillId="0" borderId="21" xfId="2" applyNumberFormat="1" applyFont="1" applyFill="1" applyBorder="1" applyAlignment="1" applyProtection="1">
      <alignment vertical="center" shrinkToFit="1"/>
    </xf>
    <xf numFmtId="176" fontId="8" fillId="0" borderId="20" xfId="2" applyNumberFormat="1" applyFont="1" applyFill="1" applyBorder="1" applyAlignment="1" applyProtection="1">
      <alignment vertical="center" shrinkToFit="1"/>
    </xf>
    <xf numFmtId="0" fontId="5" fillId="0" borderId="14" xfId="3" applyFont="1" applyBorder="1" applyAlignment="1">
      <alignment horizontal="left" vertical="center" shrinkToFit="1"/>
    </xf>
    <xf numFmtId="0" fontId="5" fillId="0" borderId="14" xfId="3" applyFont="1" applyBorder="1" applyAlignment="1">
      <alignment vertical="center" shrinkToFit="1"/>
    </xf>
    <xf numFmtId="176" fontId="8" fillId="0" borderId="14" xfId="2" applyNumberFormat="1" applyFont="1" applyFill="1" applyBorder="1" applyAlignment="1" applyProtection="1">
      <alignment vertical="center" shrinkToFit="1"/>
    </xf>
    <xf numFmtId="176" fontId="8" fillId="0" borderId="13" xfId="2" applyNumberFormat="1" applyFont="1" applyFill="1" applyBorder="1" applyAlignment="1" applyProtection="1">
      <alignment vertical="center" shrinkToFit="1"/>
    </xf>
    <xf numFmtId="41" fontId="3" fillId="0" borderId="0" xfId="2" applyFont="1" applyFill="1" applyBorder="1" applyAlignment="1">
      <alignment vertical="center" shrinkToFit="1"/>
    </xf>
    <xf numFmtId="176" fontId="8" fillId="0" borderId="3" xfId="2" applyNumberFormat="1" applyFont="1" applyFill="1" applyBorder="1" applyAlignment="1" applyProtection="1">
      <alignment vertical="center" shrinkToFit="1"/>
    </xf>
    <xf numFmtId="176" fontId="8" fillId="0" borderId="2" xfId="2" applyNumberFormat="1" applyFont="1" applyFill="1" applyBorder="1" applyAlignment="1" applyProtection="1">
      <alignment vertical="center" shrinkToFit="1"/>
    </xf>
    <xf numFmtId="37" fontId="5" fillId="0" borderId="34" xfId="7" applyFont="1" applyBorder="1" applyAlignment="1">
      <alignment horizontal="center" vertical="center" shrinkToFit="1"/>
    </xf>
    <xf numFmtId="37" fontId="5" fillId="0" borderId="31" xfId="7" applyFont="1" applyBorder="1" applyAlignment="1">
      <alignment horizontal="center" vertical="center" shrinkToFit="1"/>
    </xf>
    <xf numFmtId="180" fontId="5" fillId="0" borderId="0" xfId="9" applyNumberFormat="1" applyFont="1" applyFill="1" applyAlignment="1">
      <alignment vertical="center" shrinkToFit="1"/>
    </xf>
    <xf numFmtId="180" fontId="5" fillId="0" borderId="0" xfId="1" applyNumberFormat="1" applyFont="1" applyAlignment="1">
      <alignment vertical="center" shrinkToFit="1"/>
    </xf>
    <xf numFmtId="0" fontId="5" fillId="0" borderId="7" xfId="6" applyFont="1" applyBorder="1" applyAlignment="1">
      <alignment horizontal="center" vertical="center"/>
    </xf>
    <xf numFmtId="0" fontId="5" fillId="0" borderId="8" xfId="6" applyFont="1" applyBorder="1" applyAlignment="1">
      <alignment horizontal="center" vertical="center"/>
    </xf>
    <xf numFmtId="0" fontId="5" fillId="0" borderId="3" xfId="6" applyFont="1" applyBorder="1" applyAlignment="1">
      <alignment horizontal="center" vertical="center"/>
    </xf>
    <xf numFmtId="0" fontId="5" fillId="0" borderId="4" xfId="6" applyFont="1" applyBorder="1" applyAlignment="1">
      <alignment horizontal="center" vertical="center"/>
    </xf>
    <xf numFmtId="0" fontId="5" fillId="0" borderId="7" xfId="3" applyFont="1" applyBorder="1" applyAlignment="1">
      <alignment horizontal="center" vertical="center" shrinkToFit="1"/>
    </xf>
    <xf numFmtId="0" fontId="5" fillId="0" borderId="8" xfId="3" applyFont="1" applyBorder="1" applyAlignment="1">
      <alignment horizontal="center" vertical="center" shrinkToFit="1"/>
    </xf>
    <xf numFmtId="0" fontId="5" fillId="0" borderId="22" xfId="3" applyFont="1" applyBorder="1" applyAlignment="1">
      <alignment horizontal="center" vertical="center" shrinkToFit="1"/>
    </xf>
    <xf numFmtId="0" fontId="5" fillId="0" borderId="28" xfId="3" applyFont="1" applyBorder="1" applyAlignment="1">
      <alignment horizontal="center" vertical="center" shrinkToFit="1"/>
    </xf>
    <xf numFmtId="0" fontId="5" fillId="0" borderId="23" xfId="3" applyFont="1" applyBorder="1" applyAlignment="1">
      <alignment horizontal="center" vertical="center" shrinkToFit="1"/>
    </xf>
    <xf numFmtId="0" fontId="5" fillId="0" borderId="18" xfId="5" applyFont="1" applyBorder="1" applyAlignment="1">
      <alignment horizontal="center" vertical="center"/>
    </xf>
    <xf numFmtId="0" fontId="5" fillId="0" borderId="14" xfId="5" applyFont="1" applyBorder="1" applyAlignment="1">
      <alignment horizontal="center" vertical="center"/>
    </xf>
    <xf numFmtId="0" fontId="5" fillId="0" borderId="11" xfId="3" applyFont="1" applyBorder="1" applyAlignment="1">
      <alignment horizontal="center" vertical="center" shrinkToFit="1"/>
    </xf>
    <xf numFmtId="0" fontId="5" fillId="0" borderId="12" xfId="3" applyFont="1" applyBorder="1" applyAlignment="1">
      <alignment horizontal="center" vertical="center" shrinkToFit="1"/>
    </xf>
    <xf numFmtId="0" fontId="5" fillId="0" borderId="17" xfId="3" applyFont="1" applyBorder="1" applyAlignment="1">
      <alignment horizontal="center" vertical="center" shrinkToFit="1"/>
    </xf>
    <xf numFmtId="0" fontId="5" fillId="0" borderId="15" xfId="3" applyFont="1" applyBorder="1" applyAlignment="1">
      <alignment horizontal="center" vertical="center" shrinkToFit="1"/>
    </xf>
    <xf numFmtId="0" fontId="5" fillId="0" borderId="31" xfId="5" applyFont="1" applyBorder="1" applyAlignment="1">
      <alignment horizontal="center" vertical="center"/>
    </xf>
    <xf numFmtId="0" fontId="5" fillId="0" borderId="21" xfId="5" applyFont="1" applyBorder="1" applyAlignment="1">
      <alignment horizontal="center" vertical="center"/>
    </xf>
    <xf numFmtId="0" fontId="5" fillId="0" borderId="35" xfId="5" applyFont="1" applyBorder="1" applyAlignment="1">
      <alignment horizontal="center" vertical="center"/>
    </xf>
    <xf numFmtId="0" fontId="5" fillId="0" borderId="19" xfId="5" applyFont="1" applyBorder="1" applyAlignment="1">
      <alignment horizontal="center" vertical="center"/>
    </xf>
    <xf numFmtId="178" fontId="5" fillId="0" borderId="34" xfId="7" applyNumberFormat="1" applyFont="1" applyBorder="1" applyAlignment="1">
      <alignment horizontal="center" vertical="center"/>
    </xf>
    <xf numFmtId="178" fontId="5" fillId="0" borderId="33" xfId="7" applyNumberFormat="1" applyFont="1" applyBorder="1" applyAlignment="1">
      <alignment horizontal="center" vertical="center"/>
    </xf>
    <xf numFmtId="178" fontId="5" fillId="0" borderId="32" xfId="7" applyNumberFormat="1" applyFont="1" applyBorder="1" applyAlignment="1">
      <alignment horizontal="center" vertical="center"/>
    </xf>
    <xf numFmtId="0" fontId="5" fillId="0" borderId="31" xfId="3" applyFont="1" applyBorder="1" applyAlignment="1">
      <alignment horizontal="center" vertical="center" shrinkToFit="1"/>
    </xf>
    <xf numFmtId="0" fontId="5" fillId="0" borderId="40" xfId="6" applyFont="1" applyBorder="1" applyAlignment="1">
      <alignment horizontal="center" vertical="center" shrinkToFit="1"/>
    </xf>
    <xf numFmtId="0" fontId="5" fillId="0" borderId="39" xfId="6" applyFont="1" applyBorder="1" applyAlignment="1">
      <alignment horizontal="center" vertical="center" shrinkToFit="1"/>
    </xf>
    <xf numFmtId="0" fontId="5" fillId="0" borderId="38" xfId="6" applyFont="1" applyBorder="1" applyAlignment="1">
      <alignment horizontal="center" vertical="center" shrinkToFit="1"/>
    </xf>
    <xf numFmtId="0" fontId="5" fillId="0" borderId="37" xfId="6" applyFont="1" applyBorder="1" applyAlignment="1">
      <alignment horizontal="center" vertical="center" shrinkToFit="1"/>
    </xf>
    <xf numFmtId="0" fontId="5" fillId="0" borderId="42" xfId="6" applyFont="1" applyBorder="1" applyAlignment="1">
      <alignment horizontal="center" vertical="center" shrinkToFit="1"/>
    </xf>
    <xf numFmtId="0" fontId="5" fillId="0" borderId="41" xfId="6" applyFont="1" applyBorder="1" applyAlignment="1">
      <alignment horizontal="center" vertical="center" shrinkToFit="1"/>
    </xf>
    <xf numFmtId="0" fontId="5" fillId="0" borderId="22" xfId="6" applyFont="1" applyBorder="1" applyAlignment="1">
      <alignment horizontal="center" vertical="center" shrinkToFit="1"/>
    </xf>
    <xf numFmtId="0" fontId="5" fillId="0" borderId="7" xfId="6" applyFont="1" applyBorder="1" applyAlignment="1">
      <alignment horizontal="center" vertical="center" shrinkToFit="1"/>
    </xf>
    <xf numFmtId="0" fontId="5" fillId="0" borderId="28" xfId="6" applyFont="1" applyBorder="1" applyAlignment="1">
      <alignment horizontal="center" vertical="center" shrinkToFit="1"/>
    </xf>
    <xf numFmtId="0" fontId="5" fillId="0" borderId="18" xfId="6" applyFont="1" applyBorder="1" applyAlignment="1">
      <alignment horizontal="center" vertical="center" shrinkToFit="1"/>
    </xf>
    <xf numFmtId="0" fontId="5" fillId="0" borderId="45" xfId="6" applyFont="1" applyBorder="1" applyAlignment="1">
      <alignment horizontal="center" vertical="center" shrinkToFit="1"/>
    </xf>
    <xf numFmtId="0" fontId="5" fillId="0" borderId="23" xfId="6" applyFont="1" applyBorder="1" applyAlignment="1">
      <alignment horizontal="center" vertical="center" shrinkToFit="1"/>
    </xf>
    <xf numFmtId="0" fontId="5" fillId="0" borderId="17" xfId="6" applyFont="1" applyBorder="1" applyAlignment="1">
      <alignment horizontal="center" vertical="center" shrinkToFit="1"/>
    </xf>
    <xf numFmtId="0" fontId="5" fillId="0" borderId="15" xfId="6" applyFont="1" applyBorder="1" applyAlignment="1">
      <alignment horizontal="center" vertical="center" shrinkToFit="1"/>
    </xf>
    <xf numFmtId="0" fontId="5" fillId="0" borderId="31" xfId="6" applyFont="1" applyBorder="1" applyAlignment="1">
      <alignment horizontal="center" vertical="center" shrinkToFit="1"/>
    </xf>
    <xf numFmtId="0" fontId="5" fillId="0" borderId="21" xfId="6" applyFont="1" applyBorder="1" applyAlignment="1">
      <alignment horizontal="center" vertical="center" shrinkToFit="1"/>
    </xf>
    <xf numFmtId="0" fontId="5" fillId="0" borderId="35" xfId="6" applyFont="1" applyBorder="1" applyAlignment="1">
      <alignment horizontal="center" vertical="center" shrinkToFit="1"/>
    </xf>
    <xf numFmtId="0" fontId="5" fillId="0" borderId="19" xfId="6" applyFont="1" applyBorder="1" applyAlignment="1">
      <alignment horizontal="center" vertical="center" shrinkToFit="1"/>
    </xf>
    <xf numFmtId="37" fontId="5" fillId="0" borderId="34" xfId="7" applyFont="1" applyBorder="1" applyAlignment="1">
      <alignment horizontal="center" vertical="center" shrinkToFit="1"/>
    </xf>
    <xf numFmtId="37" fontId="5" fillId="0" borderId="33" xfId="7" applyFont="1" applyBorder="1" applyAlignment="1">
      <alignment horizontal="center" vertical="center" shrinkToFit="1"/>
    </xf>
    <xf numFmtId="37" fontId="5" fillId="0" borderId="32" xfId="7" applyFont="1" applyBorder="1" applyAlignment="1">
      <alignment horizontal="center" vertical="center" shrinkToFit="1"/>
    </xf>
    <xf numFmtId="37" fontId="5" fillId="0" borderId="31" xfId="7" applyFont="1" applyBorder="1" applyAlignment="1">
      <alignment horizontal="center" vertical="center" shrinkToFit="1"/>
    </xf>
    <xf numFmtId="37" fontId="5" fillId="0" borderId="57" xfId="7" applyFont="1" applyBorder="1" applyAlignment="1">
      <alignment horizontal="center" vertical="center" shrinkToFit="1"/>
    </xf>
    <xf numFmtId="37" fontId="5" fillId="0" borderId="56" xfId="7" applyFont="1" applyBorder="1" applyAlignment="1">
      <alignment horizontal="center" vertical="center" shrinkToFit="1"/>
    </xf>
    <xf numFmtId="37" fontId="5" fillId="0" borderId="35" xfId="7" applyFont="1" applyBorder="1" applyAlignment="1">
      <alignment horizontal="center" vertical="center" shrinkToFit="1"/>
    </xf>
    <xf numFmtId="178" fontId="5" fillId="0" borderId="58" xfId="7" applyNumberFormat="1" applyFont="1" applyBorder="1" applyAlignment="1">
      <alignment horizontal="center" vertical="center" shrinkToFit="1"/>
    </xf>
    <xf numFmtId="178" fontId="5" fillId="0" borderId="57" xfId="7" applyNumberFormat="1" applyFont="1" applyBorder="1" applyAlignment="1">
      <alignment horizontal="center" vertical="center" shrinkToFit="1"/>
    </xf>
    <xf numFmtId="178" fontId="5" fillId="0" borderId="56" xfId="7" applyNumberFormat="1" applyFont="1" applyBorder="1" applyAlignment="1">
      <alignment horizontal="center" vertical="center" shrinkToFit="1"/>
    </xf>
    <xf numFmtId="178" fontId="5" fillId="0" borderId="35" xfId="7" applyNumberFormat="1" applyFont="1" applyBorder="1" applyAlignment="1">
      <alignment horizontal="center" vertical="center" shrinkToFit="1"/>
    </xf>
    <xf numFmtId="178" fontId="5" fillId="0" borderId="34" xfId="7" applyNumberFormat="1" applyFont="1" applyBorder="1" applyAlignment="1">
      <alignment horizontal="center" vertical="center" shrinkToFit="1"/>
    </xf>
    <xf numFmtId="178" fontId="5" fillId="0" borderId="33" xfId="7" applyNumberFormat="1" applyFont="1" applyBorder="1" applyAlignment="1">
      <alignment horizontal="center" vertical="center" shrinkToFit="1"/>
    </xf>
    <xf numFmtId="178" fontId="5" fillId="0" borderId="32" xfId="7" applyNumberFormat="1" applyFont="1" applyBorder="1" applyAlignment="1">
      <alignment horizontal="center" vertical="center" shrinkToFit="1"/>
    </xf>
    <xf numFmtId="41" fontId="2" fillId="0" borderId="0" xfId="3" applyNumberFormat="1" applyFont="1" applyAlignment="1">
      <alignment horizontal="center" vertical="center" shrinkToFit="1"/>
    </xf>
    <xf numFmtId="178" fontId="5" fillId="0" borderId="59" xfId="7" applyNumberFormat="1" applyFont="1" applyBorder="1" applyAlignment="1">
      <alignment horizontal="center" vertical="center" shrinkToFit="1"/>
    </xf>
    <xf numFmtId="179" fontId="8" fillId="0" borderId="8" xfId="2" applyNumberFormat="1" applyFont="1" applyFill="1" applyBorder="1" applyAlignment="1" applyProtection="1">
      <alignment horizontal="center" vertical="center" shrinkToFit="1"/>
    </xf>
    <xf numFmtId="179" fontId="8" fillId="0" borderId="14" xfId="2" applyNumberFormat="1" applyFont="1" applyFill="1" applyBorder="1" applyAlignment="1" applyProtection="1">
      <alignment horizontal="center" vertical="center" shrinkToFit="1"/>
    </xf>
    <xf numFmtId="178" fontId="8" fillId="0" borderId="0" xfId="2" applyNumberFormat="1" applyFont="1" applyFill="1" applyBorder="1" applyAlignment="1" applyProtection="1">
      <alignment horizontal="center" vertical="center" shrinkToFit="1"/>
    </xf>
    <xf numFmtId="179" fontId="8" fillId="0" borderId="12" xfId="2" applyNumberFormat="1" applyFont="1" applyFill="1" applyBorder="1" applyAlignment="1" applyProtection="1">
      <alignment horizontal="center" vertical="center" shrinkToFit="1"/>
    </xf>
    <xf numFmtId="178" fontId="8" fillId="0" borderId="12" xfId="2" applyNumberFormat="1" applyFont="1" applyFill="1" applyBorder="1" applyAlignment="1" applyProtection="1">
      <alignment horizontal="center" vertical="center" shrinkToFit="1"/>
    </xf>
    <xf numFmtId="178" fontId="8" fillId="0" borderId="8" xfId="2" applyNumberFormat="1" applyFont="1" applyFill="1" applyBorder="1" applyAlignment="1" applyProtection="1">
      <alignment horizontal="center" vertical="center" shrinkToFit="1"/>
    </xf>
    <xf numFmtId="179" fontId="8" fillId="0" borderId="4" xfId="2" applyNumberFormat="1" applyFont="1" applyFill="1" applyBorder="1" applyAlignment="1" applyProtection="1">
      <alignment horizontal="center" vertical="center" shrinkToFit="1"/>
    </xf>
    <xf numFmtId="178" fontId="8" fillId="0" borderId="4" xfId="2" applyNumberFormat="1" applyFont="1" applyFill="1" applyBorder="1" applyAlignment="1" applyProtection="1">
      <alignment horizontal="center" vertical="center" shrinkToFit="1"/>
    </xf>
    <xf numFmtId="41" fontId="2" fillId="0" borderId="0" xfId="2" applyFont="1" applyFill="1" applyBorder="1" applyAlignment="1" applyProtection="1">
      <alignment horizontal="center" vertical="center" shrinkToFit="1"/>
    </xf>
    <xf numFmtId="0" fontId="2" fillId="0" borderId="0" xfId="1" applyFont="1" applyAlignment="1">
      <alignment horizontal="center" vertical="center" shrinkToFit="1"/>
    </xf>
    <xf numFmtId="41" fontId="2" fillId="0" borderId="0" xfId="4" applyFont="1" applyFill="1" applyAlignment="1">
      <alignment horizontal="center" vertical="center" shrinkToFit="1"/>
    </xf>
    <xf numFmtId="177" fontId="4" fillId="0" borderId="0" xfId="2" applyNumberFormat="1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41" fontId="4" fillId="0" borderId="0" xfId="2" applyFont="1" applyFill="1" applyAlignment="1">
      <alignment horizontal="center" vertical="center"/>
    </xf>
    <xf numFmtId="179" fontId="8" fillId="0" borderId="8" xfId="2" applyNumberFormat="1" applyFont="1" applyFill="1" applyBorder="1" applyAlignment="1" applyProtection="1">
      <alignment horizontal="right" vertical="center" shrinkToFit="1"/>
    </xf>
    <xf numFmtId="178" fontId="8" fillId="0" borderId="5" xfId="2" applyNumberFormat="1" applyFont="1" applyFill="1" applyBorder="1" applyAlignment="1" applyProtection="1">
      <alignment horizontal="right" vertical="center" shrinkToFit="1"/>
    </xf>
    <xf numFmtId="179" fontId="8" fillId="0" borderId="43" xfId="2" applyNumberFormat="1" applyFont="1" applyFill="1" applyBorder="1" applyAlignment="1" applyProtection="1">
      <alignment horizontal="right" vertical="center" shrinkToFit="1"/>
    </xf>
    <xf numFmtId="178" fontId="8" fillId="0" borderId="15" xfId="2" applyNumberFormat="1" applyFont="1" applyFill="1" applyBorder="1" applyAlignment="1" applyProtection="1">
      <alignment horizontal="right" vertical="center" shrinkToFit="1"/>
    </xf>
    <xf numFmtId="179" fontId="8" fillId="0" borderId="51" xfId="2" applyNumberFormat="1" applyFont="1" applyFill="1" applyBorder="1" applyAlignment="1" applyProtection="1">
      <alignment horizontal="right" vertical="center" shrinkToFit="1"/>
    </xf>
    <xf numFmtId="178" fontId="8" fillId="0" borderId="26" xfId="2" applyNumberFormat="1" applyFont="1" applyFill="1" applyBorder="1" applyAlignment="1" applyProtection="1">
      <alignment horizontal="right" vertical="center" shrinkToFit="1"/>
    </xf>
    <xf numFmtId="179" fontId="8" fillId="0" borderId="53" xfId="2" applyNumberFormat="1" applyFont="1" applyFill="1" applyBorder="1" applyAlignment="1" applyProtection="1">
      <alignment horizontal="right" vertical="center" shrinkToFit="1"/>
    </xf>
    <xf numFmtId="178" fontId="8" fillId="0" borderId="29" xfId="2" applyNumberFormat="1" applyFont="1" applyFill="1" applyBorder="1" applyAlignment="1" applyProtection="1">
      <alignment horizontal="right" vertical="center" shrinkToFit="1"/>
    </xf>
    <xf numFmtId="179" fontId="8" fillId="0" borderId="23" xfId="2" applyNumberFormat="1" applyFont="1" applyFill="1" applyBorder="1" applyAlignment="1" applyProtection="1">
      <alignment horizontal="right" vertical="center" shrinkToFit="1"/>
    </xf>
  </cellXfs>
  <cellStyles count="10">
    <cellStyle name="백분율 2" xfId="9" xr:uid="{5620E085-AB03-4640-98D3-18767C43D972}"/>
    <cellStyle name="쉼표 [0] 11" xfId="8" xr:uid="{00000000-0005-0000-0000-000001000000}"/>
    <cellStyle name="쉼표 [0] 2" xfId="2" xr:uid="{00000000-0005-0000-0000-000002000000}"/>
    <cellStyle name="쉼표 [0] 3" xfId="4" xr:uid="{00000000-0005-0000-0000-000003000000}"/>
    <cellStyle name="표준" xfId="0" builtinId="0"/>
    <cellStyle name="표준_Ⅲ-9보급율실적(86~02)_Book1" xfId="1" xr:uid="{00000000-0005-0000-0000-000005000000}"/>
    <cellStyle name="표준_Ⅲ-9보급율실적(86~02)_III. 공급실적(p.19~p.110)-" xfId="3" xr:uid="{00000000-0005-0000-0000-000006000000}"/>
    <cellStyle name="표준_III. 공급실적" xfId="5" xr:uid="{00000000-0005-0000-0000-000007000000}"/>
    <cellStyle name="표준_보급율" xfId="6" xr:uid="{00000000-0005-0000-0000-000008000000}"/>
    <cellStyle name="표준_보급율86" xfId="7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A2536-1DD2-4FCD-8CCF-9CDE907DBD7D}">
  <sheetPr codeName="Sheet64">
    <pageSetUpPr fitToPage="1"/>
  </sheetPr>
  <dimension ref="A1:V77"/>
  <sheetViews>
    <sheetView showZeros="0" workbookViewId="0">
      <selection activeCell="U35" sqref="U35"/>
    </sheetView>
  </sheetViews>
  <sheetFormatPr defaultColWidth="5.33203125" defaultRowHeight="9" x14ac:dyDescent="0.15"/>
  <cols>
    <col min="1" max="2" width="5.44140625" style="3" customWidth="1"/>
    <col min="3" max="16" width="3.77734375" style="3" customWidth="1"/>
    <col min="17" max="17" width="5.33203125" style="2"/>
    <col min="18" max="256" width="5.33203125" style="1"/>
    <col min="257" max="258" width="5.44140625" style="1" customWidth="1"/>
    <col min="259" max="272" width="3.77734375" style="1" customWidth="1"/>
    <col min="273" max="512" width="5.33203125" style="1"/>
    <col min="513" max="514" width="5.44140625" style="1" customWidth="1"/>
    <col min="515" max="528" width="3.77734375" style="1" customWidth="1"/>
    <col min="529" max="768" width="5.33203125" style="1"/>
    <col min="769" max="770" width="5.44140625" style="1" customWidth="1"/>
    <col min="771" max="784" width="3.77734375" style="1" customWidth="1"/>
    <col min="785" max="1024" width="5.33203125" style="1"/>
    <col min="1025" max="1026" width="5.44140625" style="1" customWidth="1"/>
    <col min="1027" max="1040" width="3.77734375" style="1" customWidth="1"/>
    <col min="1041" max="1280" width="5.33203125" style="1"/>
    <col min="1281" max="1282" width="5.44140625" style="1" customWidth="1"/>
    <col min="1283" max="1296" width="3.77734375" style="1" customWidth="1"/>
    <col min="1297" max="1536" width="5.33203125" style="1"/>
    <col min="1537" max="1538" width="5.44140625" style="1" customWidth="1"/>
    <col min="1539" max="1552" width="3.77734375" style="1" customWidth="1"/>
    <col min="1553" max="1792" width="5.33203125" style="1"/>
    <col min="1793" max="1794" width="5.44140625" style="1" customWidth="1"/>
    <col min="1795" max="1808" width="3.77734375" style="1" customWidth="1"/>
    <col min="1809" max="2048" width="5.33203125" style="1"/>
    <col min="2049" max="2050" width="5.44140625" style="1" customWidth="1"/>
    <col min="2051" max="2064" width="3.77734375" style="1" customWidth="1"/>
    <col min="2065" max="2304" width="5.33203125" style="1"/>
    <col min="2305" max="2306" width="5.44140625" style="1" customWidth="1"/>
    <col min="2307" max="2320" width="3.77734375" style="1" customWidth="1"/>
    <col min="2321" max="2560" width="5.33203125" style="1"/>
    <col min="2561" max="2562" width="5.44140625" style="1" customWidth="1"/>
    <col min="2563" max="2576" width="3.77734375" style="1" customWidth="1"/>
    <col min="2577" max="2816" width="5.33203125" style="1"/>
    <col min="2817" max="2818" width="5.44140625" style="1" customWidth="1"/>
    <col min="2819" max="2832" width="3.77734375" style="1" customWidth="1"/>
    <col min="2833" max="3072" width="5.33203125" style="1"/>
    <col min="3073" max="3074" width="5.44140625" style="1" customWidth="1"/>
    <col min="3075" max="3088" width="3.77734375" style="1" customWidth="1"/>
    <col min="3089" max="3328" width="5.33203125" style="1"/>
    <col min="3329" max="3330" width="5.44140625" style="1" customWidth="1"/>
    <col min="3331" max="3344" width="3.77734375" style="1" customWidth="1"/>
    <col min="3345" max="3584" width="5.33203125" style="1"/>
    <col min="3585" max="3586" width="5.44140625" style="1" customWidth="1"/>
    <col min="3587" max="3600" width="3.77734375" style="1" customWidth="1"/>
    <col min="3601" max="3840" width="5.33203125" style="1"/>
    <col min="3841" max="3842" width="5.44140625" style="1" customWidth="1"/>
    <col min="3843" max="3856" width="3.77734375" style="1" customWidth="1"/>
    <col min="3857" max="4096" width="5.33203125" style="1"/>
    <col min="4097" max="4098" width="5.44140625" style="1" customWidth="1"/>
    <col min="4099" max="4112" width="3.77734375" style="1" customWidth="1"/>
    <col min="4113" max="4352" width="5.33203125" style="1"/>
    <col min="4353" max="4354" width="5.44140625" style="1" customWidth="1"/>
    <col min="4355" max="4368" width="3.77734375" style="1" customWidth="1"/>
    <col min="4369" max="4608" width="5.33203125" style="1"/>
    <col min="4609" max="4610" width="5.44140625" style="1" customWidth="1"/>
    <col min="4611" max="4624" width="3.77734375" style="1" customWidth="1"/>
    <col min="4625" max="4864" width="5.33203125" style="1"/>
    <col min="4865" max="4866" width="5.44140625" style="1" customWidth="1"/>
    <col min="4867" max="4880" width="3.77734375" style="1" customWidth="1"/>
    <col min="4881" max="5120" width="5.33203125" style="1"/>
    <col min="5121" max="5122" width="5.44140625" style="1" customWidth="1"/>
    <col min="5123" max="5136" width="3.77734375" style="1" customWidth="1"/>
    <col min="5137" max="5376" width="5.33203125" style="1"/>
    <col min="5377" max="5378" width="5.44140625" style="1" customWidth="1"/>
    <col min="5379" max="5392" width="3.77734375" style="1" customWidth="1"/>
    <col min="5393" max="5632" width="5.33203125" style="1"/>
    <col min="5633" max="5634" width="5.44140625" style="1" customWidth="1"/>
    <col min="5635" max="5648" width="3.77734375" style="1" customWidth="1"/>
    <col min="5649" max="5888" width="5.33203125" style="1"/>
    <col min="5889" max="5890" width="5.44140625" style="1" customWidth="1"/>
    <col min="5891" max="5904" width="3.77734375" style="1" customWidth="1"/>
    <col min="5905" max="6144" width="5.33203125" style="1"/>
    <col min="6145" max="6146" width="5.44140625" style="1" customWidth="1"/>
    <col min="6147" max="6160" width="3.77734375" style="1" customWidth="1"/>
    <col min="6161" max="6400" width="5.33203125" style="1"/>
    <col min="6401" max="6402" width="5.44140625" style="1" customWidth="1"/>
    <col min="6403" max="6416" width="3.77734375" style="1" customWidth="1"/>
    <col min="6417" max="6656" width="5.33203125" style="1"/>
    <col min="6657" max="6658" width="5.44140625" style="1" customWidth="1"/>
    <col min="6659" max="6672" width="3.77734375" style="1" customWidth="1"/>
    <col min="6673" max="6912" width="5.33203125" style="1"/>
    <col min="6913" max="6914" width="5.44140625" style="1" customWidth="1"/>
    <col min="6915" max="6928" width="3.77734375" style="1" customWidth="1"/>
    <col min="6929" max="7168" width="5.33203125" style="1"/>
    <col min="7169" max="7170" width="5.44140625" style="1" customWidth="1"/>
    <col min="7171" max="7184" width="3.77734375" style="1" customWidth="1"/>
    <col min="7185" max="7424" width="5.33203125" style="1"/>
    <col min="7425" max="7426" width="5.44140625" style="1" customWidth="1"/>
    <col min="7427" max="7440" width="3.77734375" style="1" customWidth="1"/>
    <col min="7441" max="7680" width="5.33203125" style="1"/>
    <col min="7681" max="7682" width="5.44140625" style="1" customWidth="1"/>
    <col min="7683" max="7696" width="3.77734375" style="1" customWidth="1"/>
    <col min="7697" max="7936" width="5.33203125" style="1"/>
    <col min="7937" max="7938" width="5.44140625" style="1" customWidth="1"/>
    <col min="7939" max="7952" width="3.77734375" style="1" customWidth="1"/>
    <col min="7953" max="8192" width="5.33203125" style="1"/>
    <col min="8193" max="8194" width="5.44140625" style="1" customWidth="1"/>
    <col min="8195" max="8208" width="3.77734375" style="1" customWidth="1"/>
    <col min="8209" max="8448" width="5.33203125" style="1"/>
    <col min="8449" max="8450" width="5.44140625" style="1" customWidth="1"/>
    <col min="8451" max="8464" width="3.77734375" style="1" customWidth="1"/>
    <col min="8465" max="8704" width="5.33203125" style="1"/>
    <col min="8705" max="8706" width="5.44140625" style="1" customWidth="1"/>
    <col min="8707" max="8720" width="3.77734375" style="1" customWidth="1"/>
    <col min="8721" max="8960" width="5.33203125" style="1"/>
    <col min="8961" max="8962" width="5.44140625" style="1" customWidth="1"/>
    <col min="8963" max="8976" width="3.77734375" style="1" customWidth="1"/>
    <col min="8977" max="9216" width="5.33203125" style="1"/>
    <col min="9217" max="9218" width="5.44140625" style="1" customWidth="1"/>
    <col min="9219" max="9232" width="3.77734375" style="1" customWidth="1"/>
    <col min="9233" max="9472" width="5.33203125" style="1"/>
    <col min="9473" max="9474" width="5.44140625" style="1" customWidth="1"/>
    <col min="9475" max="9488" width="3.77734375" style="1" customWidth="1"/>
    <col min="9489" max="9728" width="5.33203125" style="1"/>
    <col min="9729" max="9730" width="5.44140625" style="1" customWidth="1"/>
    <col min="9731" max="9744" width="3.77734375" style="1" customWidth="1"/>
    <col min="9745" max="9984" width="5.33203125" style="1"/>
    <col min="9985" max="9986" width="5.44140625" style="1" customWidth="1"/>
    <col min="9987" max="10000" width="3.77734375" style="1" customWidth="1"/>
    <col min="10001" max="10240" width="5.33203125" style="1"/>
    <col min="10241" max="10242" width="5.44140625" style="1" customWidth="1"/>
    <col min="10243" max="10256" width="3.77734375" style="1" customWidth="1"/>
    <col min="10257" max="10496" width="5.33203125" style="1"/>
    <col min="10497" max="10498" width="5.44140625" style="1" customWidth="1"/>
    <col min="10499" max="10512" width="3.77734375" style="1" customWidth="1"/>
    <col min="10513" max="10752" width="5.33203125" style="1"/>
    <col min="10753" max="10754" width="5.44140625" style="1" customWidth="1"/>
    <col min="10755" max="10768" width="3.77734375" style="1" customWidth="1"/>
    <col min="10769" max="11008" width="5.33203125" style="1"/>
    <col min="11009" max="11010" width="5.44140625" style="1" customWidth="1"/>
    <col min="11011" max="11024" width="3.77734375" style="1" customWidth="1"/>
    <col min="11025" max="11264" width="5.33203125" style="1"/>
    <col min="11265" max="11266" width="5.44140625" style="1" customWidth="1"/>
    <col min="11267" max="11280" width="3.77734375" style="1" customWidth="1"/>
    <col min="11281" max="11520" width="5.33203125" style="1"/>
    <col min="11521" max="11522" width="5.44140625" style="1" customWidth="1"/>
    <col min="11523" max="11536" width="3.77734375" style="1" customWidth="1"/>
    <col min="11537" max="11776" width="5.33203125" style="1"/>
    <col min="11777" max="11778" width="5.44140625" style="1" customWidth="1"/>
    <col min="11779" max="11792" width="3.77734375" style="1" customWidth="1"/>
    <col min="11793" max="12032" width="5.33203125" style="1"/>
    <col min="12033" max="12034" width="5.44140625" style="1" customWidth="1"/>
    <col min="12035" max="12048" width="3.77734375" style="1" customWidth="1"/>
    <col min="12049" max="12288" width="5.33203125" style="1"/>
    <col min="12289" max="12290" width="5.44140625" style="1" customWidth="1"/>
    <col min="12291" max="12304" width="3.77734375" style="1" customWidth="1"/>
    <col min="12305" max="12544" width="5.33203125" style="1"/>
    <col min="12545" max="12546" width="5.44140625" style="1" customWidth="1"/>
    <col min="12547" max="12560" width="3.77734375" style="1" customWidth="1"/>
    <col min="12561" max="12800" width="5.33203125" style="1"/>
    <col min="12801" max="12802" width="5.44140625" style="1" customWidth="1"/>
    <col min="12803" max="12816" width="3.77734375" style="1" customWidth="1"/>
    <col min="12817" max="13056" width="5.33203125" style="1"/>
    <col min="13057" max="13058" width="5.44140625" style="1" customWidth="1"/>
    <col min="13059" max="13072" width="3.77734375" style="1" customWidth="1"/>
    <col min="13073" max="13312" width="5.33203125" style="1"/>
    <col min="13313" max="13314" width="5.44140625" style="1" customWidth="1"/>
    <col min="13315" max="13328" width="3.77734375" style="1" customWidth="1"/>
    <col min="13329" max="13568" width="5.33203125" style="1"/>
    <col min="13569" max="13570" width="5.44140625" style="1" customWidth="1"/>
    <col min="13571" max="13584" width="3.77734375" style="1" customWidth="1"/>
    <col min="13585" max="13824" width="5.33203125" style="1"/>
    <col min="13825" max="13826" width="5.44140625" style="1" customWidth="1"/>
    <col min="13827" max="13840" width="3.77734375" style="1" customWidth="1"/>
    <col min="13841" max="14080" width="5.33203125" style="1"/>
    <col min="14081" max="14082" width="5.44140625" style="1" customWidth="1"/>
    <col min="14083" max="14096" width="3.77734375" style="1" customWidth="1"/>
    <col min="14097" max="14336" width="5.33203125" style="1"/>
    <col min="14337" max="14338" width="5.44140625" style="1" customWidth="1"/>
    <col min="14339" max="14352" width="3.77734375" style="1" customWidth="1"/>
    <col min="14353" max="14592" width="5.33203125" style="1"/>
    <col min="14593" max="14594" width="5.44140625" style="1" customWidth="1"/>
    <col min="14595" max="14608" width="3.77734375" style="1" customWidth="1"/>
    <col min="14609" max="14848" width="5.33203125" style="1"/>
    <col min="14849" max="14850" width="5.44140625" style="1" customWidth="1"/>
    <col min="14851" max="14864" width="3.77734375" style="1" customWidth="1"/>
    <col min="14865" max="15104" width="5.33203125" style="1"/>
    <col min="15105" max="15106" width="5.44140625" style="1" customWidth="1"/>
    <col min="15107" max="15120" width="3.77734375" style="1" customWidth="1"/>
    <col min="15121" max="15360" width="5.33203125" style="1"/>
    <col min="15361" max="15362" width="5.44140625" style="1" customWidth="1"/>
    <col min="15363" max="15376" width="3.77734375" style="1" customWidth="1"/>
    <col min="15377" max="15616" width="5.33203125" style="1"/>
    <col min="15617" max="15618" width="5.44140625" style="1" customWidth="1"/>
    <col min="15619" max="15632" width="3.77734375" style="1" customWidth="1"/>
    <col min="15633" max="15872" width="5.33203125" style="1"/>
    <col min="15873" max="15874" width="5.44140625" style="1" customWidth="1"/>
    <col min="15875" max="15888" width="3.77734375" style="1" customWidth="1"/>
    <col min="15889" max="16128" width="5.33203125" style="1"/>
    <col min="16129" max="16130" width="5.44140625" style="1" customWidth="1"/>
    <col min="16131" max="16144" width="3.77734375" style="1" customWidth="1"/>
    <col min="16145" max="16384" width="5.33203125" style="1"/>
  </cols>
  <sheetData>
    <row r="1" spans="1:19" s="124" customFormat="1" ht="15" customHeight="1" x14ac:dyDescent="0.15">
      <c r="A1" s="123" t="s">
        <v>118</v>
      </c>
      <c r="O1" s="3"/>
      <c r="P1" s="3"/>
    </row>
    <row r="2" spans="1:19" s="124" customFormat="1" ht="15" customHeight="1" x14ac:dyDescent="0.15">
      <c r="A2" s="125" t="s">
        <v>79</v>
      </c>
      <c r="O2" s="3"/>
      <c r="P2" s="3"/>
    </row>
    <row r="3" spans="1:19" s="124" customFormat="1" ht="12" customHeight="1" x14ac:dyDescent="0.15">
      <c r="A3" s="182" t="s">
        <v>80</v>
      </c>
      <c r="B3" s="184" t="s">
        <v>81</v>
      </c>
      <c r="C3" s="186" t="s">
        <v>82</v>
      </c>
      <c r="D3" s="187"/>
      <c r="E3" s="187"/>
      <c r="F3" s="187"/>
      <c r="G3" s="187"/>
      <c r="H3" s="187"/>
      <c r="I3" s="187"/>
      <c r="J3" s="187"/>
      <c r="K3" s="187"/>
      <c r="L3" s="187"/>
      <c r="M3" s="187"/>
      <c r="N3" s="187"/>
      <c r="O3" s="187"/>
      <c r="P3" s="188"/>
    </row>
    <row r="4" spans="1:19" s="124" customFormat="1" ht="12" customHeight="1" x14ac:dyDescent="0.15">
      <c r="A4" s="183"/>
      <c r="B4" s="185"/>
      <c r="C4" s="126">
        <v>1992</v>
      </c>
      <c r="D4" s="127">
        <v>1993</v>
      </c>
      <c r="E4" s="127">
        <v>1994</v>
      </c>
      <c r="F4" s="127">
        <v>1995</v>
      </c>
      <c r="G4" s="127">
        <v>1996</v>
      </c>
      <c r="H4" s="128">
        <v>1997</v>
      </c>
      <c r="I4" s="127">
        <v>1998</v>
      </c>
      <c r="J4" s="127">
        <v>1999</v>
      </c>
      <c r="K4" s="127">
        <v>2000</v>
      </c>
      <c r="L4" s="127">
        <v>2001</v>
      </c>
      <c r="M4" s="128">
        <v>2002</v>
      </c>
      <c r="N4" s="95">
        <v>2003</v>
      </c>
      <c r="O4" s="95">
        <v>2004</v>
      </c>
      <c r="P4" s="129">
        <v>2005</v>
      </c>
    </row>
    <row r="5" spans="1:19" s="5" customFormat="1" ht="9" customHeight="1" x14ac:dyDescent="0.15">
      <c r="A5" s="189" t="s">
        <v>83</v>
      </c>
      <c r="B5" s="96" t="s">
        <v>84</v>
      </c>
      <c r="C5" s="130">
        <v>43.661838380727914</v>
      </c>
      <c r="D5" s="131">
        <v>52.060099417858041</v>
      </c>
      <c r="E5" s="131">
        <v>59.543993032632372</v>
      </c>
      <c r="F5" s="131">
        <v>64.563559789272375</v>
      </c>
      <c r="G5" s="131">
        <v>69.302356451061996</v>
      </c>
      <c r="H5" s="131">
        <v>75.070324709150896</v>
      </c>
      <c r="I5" s="131">
        <v>81.207480418482731</v>
      </c>
      <c r="J5" s="131">
        <v>85.310292880172199</v>
      </c>
      <c r="K5" s="131">
        <v>88.244030868135027</v>
      </c>
      <c r="L5" s="131">
        <v>90.585240139593694</v>
      </c>
      <c r="M5" s="131">
        <v>92.670995092447839</v>
      </c>
      <c r="N5" s="16">
        <v>91.992753790912303</v>
      </c>
      <c r="O5" s="16">
        <v>91.784412329899496</v>
      </c>
      <c r="P5" s="15">
        <v>90.783221869215097</v>
      </c>
      <c r="Q5" s="132"/>
      <c r="R5" s="6"/>
      <c r="S5" s="133"/>
    </row>
    <row r="6" spans="1:19" s="5" customFormat="1" ht="9" customHeight="1" x14ac:dyDescent="0.15">
      <c r="A6" s="175"/>
      <c r="B6" s="96" t="s">
        <v>85</v>
      </c>
      <c r="C6" s="135">
        <v>10.298467837419897</v>
      </c>
      <c r="D6" s="136">
        <v>16.494697223699767</v>
      </c>
      <c r="E6" s="136">
        <v>25.263001361239372</v>
      </c>
      <c r="F6" s="136">
        <v>36.571075724958021</v>
      </c>
      <c r="G6" s="136">
        <v>47.047012473854394</v>
      </c>
      <c r="H6" s="136">
        <v>56.517140657116862</v>
      </c>
      <c r="I6" s="136">
        <v>64.626918647556153</v>
      </c>
      <c r="J6" s="136">
        <v>72.104574600525069</v>
      </c>
      <c r="K6" s="136">
        <v>78.357279883903544</v>
      </c>
      <c r="L6" s="136">
        <v>82.865854109959201</v>
      </c>
      <c r="M6" s="136">
        <v>86.061510599973644</v>
      </c>
      <c r="N6" s="14">
        <v>87.955240959681987</v>
      </c>
      <c r="O6" s="14">
        <v>89.531274920402396</v>
      </c>
      <c r="P6" s="13">
        <v>89.591925054732442</v>
      </c>
      <c r="Q6" s="132"/>
      <c r="R6" s="6"/>
      <c r="S6" s="133"/>
    </row>
    <row r="7" spans="1:19" s="5" customFormat="1" ht="9" customHeight="1" x14ac:dyDescent="0.15">
      <c r="A7" s="175"/>
      <c r="B7" s="96" t="s">
        <v>86</v>
      </c>
      <c r="C7" s="135">
        <v>32.0642252751475</v>
      </c>
      <c r="D7" s="136">
        <v>40.148110292256327</v>
      </c>
      <c r="E7" s="136">
        <v>53.546124271285358</v>
      </c>
      <c r="F7" s="136">
        <v>60.614570306183744</v>
      </c>
      <c r="G7" s="136">
        <v>65.690322510345752</v>
      </c>
      <c r="H7" s="136">
        <v>70.932094946738644</v>
      </c>
      <c r="I7" s="136">
        <v>76.480881415011254</v>
      </c>
      <c r="J7" s="136">
        <v>80.33696107157806</v>
      </c>
      <c r="K7" s="136">
        <v>83.321925482131476</v>
      </c>
      <c r="L7" s="136">
        <v>86.809596167362159</v>
      </c>
      <c r="M7" s="136">
        <v>86.778616954208857</v>
      </c>
      <c r="N7" s="14">
        <v>87.935498804548331</v>
      </c>
      <c r="O7" s="14">
        <v>87.979259066097185</v>
      </c>
      <c r="P7" s="13">
        <v>86.782366575400033</v>
      </c>
      <c r="Q7" s="132"/>
      <c r="R7" s="6"/>
      <c r="S7" s="133"/>
    </row>
    <row r="8" spans="1:19" s="5" customFormat="1" ht="9" customHeight="1" x14ac:dyDescent="0.15">
      <c r="A8" s="175"/>
      <c r="B8" s="96" t="s">
        <v>28</v>
      </c>
      <c r="C8" s="135">
        <v>24.740394600207686</v>
      </c>
      <c r="D8" s="136">
        <v>37.246513600207919</v>
      </c>
      <c r="E8" s="136">
        <v>49.837119961061759</v>
      </c>
      <c r="F8" s="136">
        <v>58.785566569207724</v>
      </c>
      <c r="G8" s="136">
        <v>67.059148919356744</v>
      </c>
      <c r="H8" s="136">
        <v>73.106451773721432</v>
      </c>
      <c r="I8" s="136">
        <v>79.885488816932209</v>
      </c>
      <c r="J8" s="136">
        <v>85.676172469933292</v>
      </c>
      <c r="K8" s="136">
        <v>86.600808630868897</v>
      </c>
      <c r="L8" s="136">
        <v>89.989048422099344</v>
      </c>
      <c r="M8" s="136">
        <v>92.9827582210537</v>
      </c>
      <c r="N8" s="14">
        <v>93.538334483937774</v>
      </c>
      <c r="O8" s="14">
        <v>93.001480419798028</v>
      </c>
      <c r="P8" s="13">
        <v>91.751422801542134</v>
      </c>
      <c r="Q8" s="132"/>
      <c r="R8" s="6"/>
      <c r="S8" s="133"/>
    </row>
    <row r="9" spans="1:19" s="5" customFormat="1" ht="9" customHeight="1" x14ac:dyDescent="0.15">
      <c r="A9" s="175"/>
      <c r="B9" s="96" t="s">
        <v>87</v>
      </c>
      <c r="C9" s="135">
        <v>35.658926058470058</v>
      </c>
      <c r="D9" s="136">
        <v>39.604038587709276</v>
      </c>
      <c r="E9" s="136">
        <v>45.086071174547868</v>
      </c>
      <c r="F9" s="136">
        <v>50.979129473352579</v>
      </c>
      <c r="G9" s="136">
        <v>55.908266623919211</v>
      </c>
      <c r="H9" s="136">
        <v>61.055844404395465</v>
      </c>
      <c r="I9" s="136">
        <v>66.823638468591923</v>
      </c>
      <c r="J9" s="136">
        <v>71.895518468113551</v>
      </c>
      <c r="K9" s="136">
        <v>76.875930476938009</v>
      </c>
      <c r="L9" s="136">
        <v>76.412900896120732</v>
      </c>
      <c r="M9" s="136">
        <v>80.515539199560422</v>
      </c>
      <c r="N9" s="14">
        <v>86.587058738492956</v>
      </c>
      <c r="O9" s="14">
        <v>87.621714085207174</v>
      </c>
      <c r="P9" s="13">
        <v>88.004711627931997</v>
      </c>
      <c r="Q9" s="132"/>
      <c r="R9" s="6"/>
      <c r="S9" s="133"/>
    </row>
    <row r="10" spans="1:19" s="5" customFormat="1" ht="9" customHeight="1" x14ac:dyDescent="0.15">
      <c r="A10" s="175"/>
      <c r="B10" s="137" t="s">
        <v>88</v>
      </c>
      <c r="C10" s="138">
        <v>28.799751733270686</v>
      </c>
      <c r="D10" s="139">
        <v>36.429031443419234</v>
      </c>
      <c r="E10" s="139">
        <v>46.635350031749205</v>
      </c>
      <c r="F10" s="139">
        <v>54.359956858720437</v>
      </c>
      <c r="G10" s="139">
        <v>60.847835994183988</v>
      </c>
      <c r="H10" s="139">
        <v>67.203795342287734</v>
      </c>
      <c r="I10" s="139">
        <v>73.550040382430979</v>
      </c>
      <c r="J10" s="139">
        <v>78.606204089463873</v>
      </c>
      <c r="K10" s="139">
        <v>82.434863976140974</v>
      </c>
      <c r="L10" s="139">
        <v>85.2916910434231</v>
      </c>
      <c r="M10" s="139">
        <v>87.219050646531713</v>
      </c>
      <c r="N10" s="27">
        <v>88.916494404314008</v>
      </c>
      <c r="O10" s="27">
        <v>89.350364898028531</v>
      </c>
      <c r="P10" s="26">
        <v>88.68995898589101</v>
      </c>
      <c r="Q10" s="132"/>
      <c r="R10" s="6"/>
      <c r="S10" s="133"/>
    </row>
    <row r="11" spans="1:19" s="5" customFormat="1" ht="9" customHeight="1" x14ac:dyDescent="0.15">
      <c r="A11" s="175" t="s">
        <v>89</v>
      </c>
      <c r="B11" s="140" t="s">
        <v>90</v>
      </c>
      <c r="C11" s="141">
        <v>20.202783490363004</v>
      </c>
      <c r="D11" s="142">
        <v>27.684307127561947</v>
      </c>
      <c r="E11" s="142">
        <v>34.733727565444049</v>
      </c>
      <c r="F11" s="142">
        <v>39.276613428049458</v>
      </c>
      <c r="G11" s="142">
        <v>43.061981576424493</v>
      </c>
      <c r="H11" s="142">
        <v>49.820356198538576</v>
      </c>
      <c r="I11" s="142">
        <v>56.871586734638257</v>
      </c>
      <c r="J11" s="142">
        <v>61.834283460614536</v>
      </c>
      <c r="K11" s="142">
        <v>66.943460094145024</v>
      </c>
      <c r="L11" s="142">
        <v>72.465151672373835</v>
      </c>
      <c r="M11" s="142">
        <v>78.199878016903369</v>
      </c>
      <c r="N11" s="25">
        <v>81.966424988955595</v>
      </c>
      <c r="O11" s="25">
        <v>84.296749492559144</v>
      </c>
      <c r="P11" s="24">
        <v>86.92335231070939</v>
      </c>
      <c r="Q11" s="132"/>
      <c r="R11" s="6"/>
      <c r="S11" s="133"/>
    </row>
    <row r="12" spans="1:19" s="5" customFormat="1" ht="9" customHeight="1" x14ac:dyDescent="0.15">
      <c r="A12" s="175"/>
      <c r="B12" s="96" t="s">
        <v>91</v>
      </c>
      <c r="C12" s="135">
        <v>34.646097597929511</v>
      </c>
      <c r="D12" s="136">
        <v>39.355358115632519</v>
      </c>
      <c r="E12" s="136">
        <v>43.699024972941892</v>
      </c>
      <c r="F12" s="136">
        <v>48.705030770203962</v>
      </c>
      <c r="G12" s="136">
        <v>49.680420924395342</v>
      </c>
      <c r="H12" s="136">
        <v>59.19996138188489</v>
      </c>
      <c r="I12" s="136">
        <v>65.607358787598102</v>
      </c>
      <c r="J12" s="136">
        <v>66.611584722756334</v>
      </c>
      <c r="K12" s="136">
        <v>73.744506608737197</v>
      </c>
      <c r="L12" s="136">
        <v>78.390847991055622</v>
      </c>
      <c r="M12" s="136">
        <v>83.346011889668375</v>
      </c>
      <c r="N12" s="14">
        <v>83.981731777638558</v>
      </c>
      <c r="O12" s="14">
        <v>85.970247821927202</v>
      </c>
      <c r="P12" s="13">
        <v>85.411438275260693</v>
      </c>
      <c r="Q12" s="132"/>
      <c r="R12" s="6"/>
      <c r="S12" s="133"/>
    </row>
    <row r="13" spans="1:19" s="5" customFormat="1" ht="9" customHeight="1" x14ac:dyDescent="0.15">
      <c r="A13" s="175"/>
      <c r="B13" s="137" t="s">
        <v>88</v>
      </c>
      <c r="C13" s="138">
        <v>29.709122594208608</v>
      </c>
      <c r="D13" s="139">
        <v>35.244766382429219</v>
      </c>
      <c r="E13" s="139">
        <v>40.465643196193071</v>
      </c>
      <c r="F13" s="139">
        <v>45.258085691271781</v>
      </c>
      <c r="G13" s="139">
        <v>47.320120649300804</v>
      </c>
      <c r="H13" s="139">
        <v>55.883672277965367</v>
      </c>
      <c r="I13" s="139">
        <v>62.560606867046346</v>
      </c>
      <c r="J13" s="139">
        <v>64.954712082249415</v>
      </c>
      <c r="K13" s="139">
        <v>71.402500327840187</v>
      </c>
      <c r="L13" s="139">
        <v>76.351522668917269</v>
      </c>
      <c r="M13" s="139">
        <v>81.573376121160351</v>
      </c>
      <c r="N13" s="27">
        <v>83.281245413139246</v>
      </c>
      <c r="O13" s="27">
        <v>85.391908723808854</v>
      </c>
      <c r="P13" s="26">
        <v>85.92630153686811</v>
      </c>
      <c r="Q13" s="132"/>
      <c r="R13" s="6"/>
      <c r="S13" s="133"/>
    </row>
    <row r="14" spans="1:19" s="5" customFormat="1" ht="9" customHeight="1" x14ac:dyDescent="0.15">
      <c r="A14" s="173" t="s">
        <v>92</v>
      </c>
      <c r="B14" s="140" t="s">
        <v>84</v>
      </c>
      <c r="C14" s="141">
        <v>13.947317666173781</v>
      </c>
      <c r="D14" s="142">
        <v>20.334062076033639</v>
      </c>
      <c r="E14" s="142">
        <v>29.168555157056712</v>
      </c>
      <c r="F14" s="142">
        <v>35.819627983274223</v>
      </c>
      <c r="G14" s="142">
        <v>42.242660799836905</v>
      </c>
      <c r="H14" s="142">
        <v>46.866382653827877</v>
      </c>
      <c r="I14" s="142">
        <v>53.804210530570508</v>
      </c>
      <c r="J14" s="142">
        <v>59.917236565813191</v>
      </c>
      <c r="K14" s="142">
        <v>64.632661213693709</v>
      </c>
      <c r="L14" s="142">
        <v>67.786283627949601</v>
      </c>
      <c r="M14" s="142">
        <v>69.627273833642363</v>
      </c>
      <c r="N14" s="25">
        <v>69.504306155393465</v>
      </c>
      <c r="O14" s="25">
        <v>69.337651059547284</v>
      </c>
      <c r="P14" s="24">
        <v>69.489213142865253</v>
      </c>
      <c r="Q14" s="132"/>
      <c r="R14" s="6"/>
      <c r="S14" s="133"/>
    </row>
    <row r="15" spans="1:19" s="5" customFormat="1" ht="9" customHeight="1" x14ac:dyDescent="0.15">
      <c r="A15" s="171"/>
      <c r="B15" s="96" t="s">
        <v>85</v>
      </c>
      <c r="C15" s="135">
        <v>0</v>
      </c>
      <c r="D15" s="136">
        <v>6.336565722231251</v>
      </c>
      <c r="E15" s="136">
        <v>10.455109780778585</v>
      </c>
      <c r="F15" s="136">
        <v>13.313018808448041</v>
      </c>
      <c r="G15" s="136">
        <v>19.198719142123096</v>
      </c>
      <c r="H15" s="136">
        <v>26.246918614349525</v>
      </c>
      <c r="I15" s="136">
        <v>39.261141102995659</v>
      </c>
      <c r="J15" s="136">
        <v>50.9274085935415</v>
      </c>
      <c r="K15" s="136">
        <v>56.78941617068228</v>
      </c>
      <c r="L15" s="136">
        <v>60.372301715960596</v>
      </c>
      <c r="M15" s="136">
        <v>64.058428295747476</v>
      </c>
      <c r="N15" s="14">
        <v>64.627441806059196</v>
      </c>
      <c r="O15" s="14">
        <v>66.082844419920946</v>
      </c>
      <c r="P15" s="13">
        <v>68.466804610336069</v>
      </c>
      <c r="Q15" s="132"/>
      <c r="R15" s="6"/>
      <c r="S15" s="133"/>
    </row>
    <row r="16" spans="1:19" s="5" customFormat="1" ht="9" customHeight="1" x14ac:dyDescent="0.15">
      <c r="A16" s="171"/>
      <c r="B16" s="96" t="s">
        <v>86</v>
      </c>
      <c r="C16" s="135">
        <v>0</v>
      </c>
      <c r="D16" s="136">
        <v>14.200416055728176</v>
      </c>
      <c r="E16" s="136">
        <v>28.338460593240793</v>
      </c>
      <c r="F16" s="136">
        <v>44.788619852946567</v>
      </c>
      <c r="G16" s="136">
        <v>48.806053282172719</v>
      </c>
      <c r="H16" s="136">
        <v>53.258907503539412</v>
      </c>
      <c r="I16" s="136">
        <v>56.288456240242446</v>
      </c>
      <c r="J16" s="136">
        <v>58.348272187296061</v>
      </c>
      <c r="K16" s="136">
        <v>61.460435573120456</v>
      </c>
      <c r="L16" s="136">
        <v>64.06705665343938</v>
      </c>
      <c r="M16" s="136">
        <v>65.41193379387083</v>
      </c>
      <c r="N16" s="14">
        <v>65.392183138641755</v>
      </c>
      <c r="O16" s="14">
        <v>65.538279907220456</v>
      </c>
      <c r="P16" s="13">
        <v>64.940279391177441</v>
      </c>
      <c r="Q16" s="132"/>
      <c r="R16" s="6"/>
      <c r="S16" s="133"/>
    </row>
    <row r="17" spans="1:19" s="5" customFormat="1" ht="9" customHeight="1" x14ac:dyDescent="0.15">
      <c r="A17" s="171"/>
      <c r="B17" s="96" t="s">
        <v>87</v>
      </c>
      <c r="C17" s="135">
        <v>0</v>
      </c>
      <c r="D17" s="136">
        <v>12.228923468366061</v>
      </c>
      <c r="E17" s="136">
        <v>15.230914869159509</v>
      </c>
      <c r="F17" s="136">
        <v>17.353377397200102</v>
      </c>
      <c r="G17" s="136">
        <v>20.662299220824444</v>
      </c>
      <c r="H17" s="136">
        <v>22.447588696052833</v>
      </c>
      <c r="I17" s="136">
        <v>28.722268417608475</v>
      </c>
      <c r="J17" s="136">
        <v>34.516859007230998</v>
      </c>
      <c r="K17" s="136">
        <v>40.235607034065076</v>
      </c>
      <c r="L17" s="136">
        <v>46.670191410800335</v>
      </c>
      <c r="M17" s="136">
        <v>52.745804625283689</v>
      </c>
      <c r="N17" s="14">
        <v>53.012670090751676</v>
      </c>
      <c r="O17" s="14">
        <v>57.126327856866524</v>
      </c>
      <c r="P17" s="13">
        <v>60.342871079525629</v>
      </c>
      <c r="Q17" s="132"/>
      <c r="R17" s="6"/>
      <c r="S17" s="133"/>
    </row>
    <row r="18" spans="1:19" s="5" customFormat="1" ht="9" customHeight="1" x14ac:dyDescent="0.15">
      <c r="A18" s="171"/>
      <c r="B18" s="96" t="s">
        <v>90</v>
      </c>
      <c r="C18" s="135">
        <v>21.209547997070786</v>
      </c>
      <c r="D18" s="136">
        <v>27.654918931544355</v>
      </c>
      <c r="E18" s="136">
        <v>32.565019942934825</v>
      </c>
      <c r="F18" s="136">
        <v>37.045496227485401</v>
      </c>
      <c r="G18" s="136">
        <v>41.105709824156428</v>
      </c>
      <c r="H18" s="136">
        <v>46.587948041800956</v>
      </c>
      <c r="I18" s="136">
        <v>54.371353281402421</v>
      </c>
      <c r="J18" s="136">
        <v>60.707900729381322</v>
      </c>
      <c r="K18" s="136">
        <v>66.479642593793315</v>
      </c>
      <c r="L18" s="136">
        <v>72.753468619577149</v>
      </c>
      <c r="M18" s="136">
        <v>76.660406142853574</v>
      </c>
      <c r="N18" s="14">
        <v>78.68793755350697</v>
      </c>
      <c r="O18" s="14">
        <v>80.247491465563471</v>
      </c>
      <c r="P18" s="13">
        <v>81.820706103667973</v>
      </c>
      <c r="Q18" s="132"/>
      <c r="R18" s="6"/>
      <c r="S18" s="133"/>
    </row>
    <row r="19" spans="1:19" s="5" customFormat="1" ht="9" customHeight="1" x14ac:dyDescent="0.15">
      <c r="A19" s="171"/>
      <c r="B19" s="96" t="s">
        <v>91</v>
      </c>
      <c r="C19" s="135">
        <v>0</v>
      </c>
      <c r="D19" s="136">
        <v>0</v>
      </c>
      <c r="E19" s="136">
        <v>0</v>
      </c>
      <c r="F19" s="136">
        <v>0</v>
      </c>
      <c r="G19" s="136">
        <v>0</v>
      </c>
      <c r="H19" s="136">
        <v>0</v>
      </c>
      <c r="I19" s="136">
        <v>0</v>
      </c>
      <c r="J19" s="136">
        <v>0</v>
      </c>
      <c r="K19" s="136">
        <v>0</v>
      </c>
      <c r="L19" s="136">
        <v>0</v>
      </c>
      <c r="M19" s="136">
        <v>0</v>
      </c>
      <c r="N19" s="14">
        <v>0</v>
      </c>
      <c r="O19" s="14">
        <v>0</v>
      </c>
      <c r="P19" s="13">
        <v>0</v>
      </c>
      <c r="Q19" s="132"/>
      <c r="R19" s="6"/>
      <c r="S19" s="133"/>
    </row>
    <row r="20" spans="1:19" s="5" customFormat="1" ht="9" customHeight="1" x14ac:dyDescent="0.15">
      <c r="A20" s="171"/>
      <c r="B20" s="96" t="s">
        <v>88</v>
      </c>
      <c r="C20" s="135">
        <v>15.150102207157087</v>
      </c>
      <c r="D20" s="136">
        <v>22.714228741850466</v>
      </c>
      <c r="E20" s="136">
        <v>29.029188334896578</v>
      </c>
      <c r="F20" s="136">
        <v>34.925116425782683</v>
      </c>
      <c r="G20" s="136">
        <v>39.626653254813789</v>
      </c>
      <c r="H20" s="136">
        <v>44.42426431937556</v>
      </c>
      <c r="I20" s="136">
        <v>51.718890053805765</v>
      </c>
      <c r="J20" s="136">
        <v>57.734785670955524</v>
      </c>
      <c r="K20" s="136">
        <v>62.961542137367744</v>
      </c>
      <c r="L20" s="136">
        <v>68.058043002247175</v>
      </c>
      <c r="M20" s="136">
        <v>71.45488178687846</v>
      </c>
      <c r="N20" s="14">
        <v>72.56520169430334</v>
      </c>
      <c r="O20" s="14">
        <v>73.866487507345795</v>
      </c>
      <c r="P20" s="13">
        <v>75.087410455841834</v>
      </c>
      <c r="Q20" s="132"/>
      <c r="R20" s="6"/>
      <c r="S20" s="133"/>
    </row>
    <row r="21" spans="1:19" s="5" customFormat="1" ht="9" customHeight="1" x14ac:dyDescent="0.15">
      <c r="A21" s="180" t="s">
        <v>93</v>
      </c>
      <c r="B21" s="181"/>
      <c r="C21" s="144">
        <v>24.403220376761809</v>
      </c>
      <c r="D21" s="145">
        <v>31.675495769088048</v>
      </c>
      <c r="E21" s="145">
        <v>39.748412708586521</v>
      </c>
      <c r="F21" s="145">
        <v>46.184601843610807</v>
      </c>
      <c r="G21" s="145">
        <v>51.309557368884981</v>
      </c>
      <c r="H21" s="145">
        <v>57.060560110802697</v>
      </c>
      <c r="I21" s="145">
        <v>63.686852654515413</v>
      </c>
      <c r="J21" s="145">
        <v>68.70464506038752</v>
      </c>
      <c r="K21" s="145">
        <v>73.290453254559978</v>
      </c>
      <c r="L21" s="145">
        <v>77.182655716419575</v>
      </c>
      <c r="M21" s="145">
        <v>79.913854433942006</v>
      </c>
      <c r="N21" s="19">
        <v>81.20346686785787</v>
      </c>
      <c r="O21" s="19">
        <v>82.104201121989092</v>
      </c>
      <c r="P21" s="18">
        <v>82.34277285379909</v>
      </c>
      <c r="Q21" s="132"/>
      <c r="R21" s="6"/>
      <c r="S21" s="133"/>
    </row>
    <row r="22" spans="1:19" s="5" customFormat="1" ht="9" customHeight="1" x14ac:dyDescent="0.15">
      <c r="A22" s="146" t="s">
        <v>94</v>
      </c>
      <c r="B22" s="137" t="s">
        <v>27</v>
      </c>
      <c r="C22" s="138">
        <v>13.43604848759488</v>
      </c>
      <c r="D22" s="139">
        <v>16.403891650935719</v>
      </c>
      <c r="E22" s="139">
        <v>17.998791770166214</v>
      </c>
      <c r="F22" s="139">
        <v>21.129008478354706</v>
      </c>
      <c r="G22" s="139">
        <v>24.914035252343041</v>
      </c>
      <c r="H22" s="139">
        <v>27.149715300677212</v>
      </c>
      <c r="I22" s="139">
        <v>30.490280637639263</v>
      </c>
      <c r="J22" s="139">
        <v>33.760797101632313</v>
      </c>
      <c r="K22" s="139">
        <v>36.440201899643611</v>
      </c>
      <c r="L22" s="139">
        <v>39.156513078680192</v>
      </c>
      <c r="M22" s="139">
        <v>41.808604297722276</v>
      </c>
      <c r="N22" s="27">
        <v>45.692822395252783</v>
      </c>
      <c r="O22" s="27">
        <v>49.643065250597687</v>
      </c>
      <c r="P22" s="26">
        <v>53.071826804720878</v>
      </c>
      <c r="Q22" s="132"/>
      <c r="R22" s="6"/>
      <c r="S22" s="133"/>
    </row>
    <row r="23" spans="1:19" s="5" customFormat="1" ht="9" customHeight="1" x14ac:dyDescent="0.15">
      <c r="A23" s="134" t="s">
        <v>95</v>
      </c>
      <c r="B23" s="147" t="s">
        <v>96</v>
      </c>
      <c r="C23" s="148">
        <v>17.701791640820613</v>
      </c>
      <c r="D23" s="149">
        <v>21.096912686290132</v>
      </c>
      <c r="E23" s="149">
        <v>24.656486694710903</v>
      </c>
      <c r="F23" s="149">
        <v>26.328886523171096</v>
      </c>
      <c r="G23" s="149">
        <v>31.007050141661725</v>
      </c>
      <c r="H23" s="149">
        <v>35.144641409838115</v>
      </c>
      <c r="I23" s="149">
        <v>38.044835155811981</v>
      </c>
      <c r="J23" s="149">
        <v>41.0790855953543</v>
      </c>
      <c r="K23" s="149">
        <v>44.027953073981827</v>
      </c>
      <c r="L23" s="149">
        <v>47.71002894414552</v>
      </c>
      <c r="M23" s="149">
        <v>53.428830830644472</v>
      </c>
      <c r="N23" s="29">
        <v>54.242342450740956</v>
      </c>
      <c r="O23" s="29">
        <v>58.385835464501845</v>
      </c>
      <c r="P23" s="28">
        <v>60.722015600656768</v>
      </c>
      <c r="Q23" s="132"/>
      <c r="R23" s="6"/>
      <c r="S23" s="133"/>
    </row>
    <row r="24" spans="1:19" s="5" customFormat="1" ht="9" customHeight="1" x14ac:dyDescent="0.15">
      <c r="A24" s="134" t="s">
        <v>97</v>
      </c>
      <c r="B24" s="147" t="s">
        <v>14</v>
      </c>
      <c r="C24" s="148">
        <v>23.379235023201254</v>
      </c>
      <c r="D24" s="149">
        <v>26.269345151158554</v>
      </c>
      <c r="E24" s="149">
        <v>29.276326446861127</v>
      </c>
      <c r="F24" s="149">
        <v>31.88687015887599</v>
      </c>
      <c r="G24" s="149">
        <v>35.856619093978495</v>
      </c>
      <c r="H24" s="149">
        <v>41.339712439005439</v>
      </c>
      <c r="I24" s="149">
        <v>44.709137912201278</v>
      </c>
      <c r="J24" s="149">
        <v>50.905920199193154</v>
      </c>
      <c r="K24" s="149">
        <v>53.243675297879065</v>
      </c>
      <c r="L24" s="149">
        <v>56.18397707110686</v>
      </c>
      <c r="M24" s="149">
        <v>60.819322355935554</v>
      </c>
      <c r="N24" s="29">
        <v>59.896902793186513</v>
      </c>
      <c r="O24" s="29">
        <v>61.912249281512665</v>
      </c>
      <c r="P24" s="28">
        <v>58.17371460293981</v>
      </c>
      <c r="Q24" s="132"/>
      <c r="R24" s="6"/>
      <c r="S24" s="133"/>
    </row>
    <row r="25" spans="1:19" s="5" customFormat="1" ht="9" customHeight="1" x14ac:dyDescent="0.15">
      <c r="A25" s="134" t="s">
        <v>98</v>
      </c>
      <c r="B25" s="147" t="s">
        <v>20</v>
      </c>
      <c r="C25" s="148">
        <v>17.280796456919926</v>
      </c>
      <c r="D25" s="149">
        <v>25.078695823721354</v>
      </c>
      <c r="E25" s="149">
        <v>30.14972882781597</v>
      </c>
      <c r="F25" s="149">
        <v>34.603148490629621</v>
      </c>
      <c r="G25" s="149">
        <v>37.233382287210262</v>
      </c>
      <c r="H25" s="149">
        <v>39.598075428873955</v>
      </c>
      <c r="I25" s="149">
        <v>42.618490478368862</v>
      </c>
      <c r="J25" s="149">
        <v>50.101837285088216</v>
      </c>
      <c r="K25" s="149">
        <v>55.007375168445208</v>
      </c>
      <c r="L25" s="149">
        <v>60.015227896796596</v>
      </c>
      <c r="M25" s="149">
        <v>63.962052366870296</v>
      </c>
      <c r="N25" s="29">
        <v>65.00609095416786</v>
      </c>
      <c r="O25" s="29">
        <v>68.000780245458841</v>
      </c>
      <c r="P25" s="28">
        <v>69.408140294962877</v>
      </c>
      <c r="Q25" s="132"/>
      <c r="R25" s="6"/>
      <c r="S25" s="133"/>
    </row>
    <row r="26" spans="1:19" s="5" customFormat="1" ht="9" customHeight="1" x14ac:dyDescent="0.15">
      <c r="A26" s="134" t="s">
        <v>99</v>
      </c>
      <c r="B26" s="147" t="s">
        <v>6</v>
      </c>
      <c r="C26" s="148">
        <v>16.483200798052852</v>
      </c>
      <c r="D26" s="149">
        <v>17.250882965556798</v>
      </c>
      <c r="E26" s="149">
        <v>20.790955532334841</v>
      </c>
      <c r="F26" s="149">
        <v>24.590757684611777</v>
      </c>
      <c r="G26" s="149">
        <v>26.753582711414314</v>
      </c>
      <c r="H26" s="149">
        <v>28.630134707210082</v>
      </c>
      <c r="I26" s="149">
        <v>33.550860058110196</v>
      </c>
      <c r="J26" s="149">
        <v>37.687541687091667</v>
      </c>
      <c r="K26" s="149">
        <v>42.83418538493143</v>
      </c>
      <c r="L26" s="149">
        <v>47.171229335586297</v>
      </c>
      <c r="M26" s="149">
        <v>51.785148682591938</v>
      </c>
      <c r="N26" s="29">
        <v>55.555873372281773</v>
      </c>
      <c r="O26" s="29">
        <v>60.581018178939253</v>
      </c>
      <c r="P26" s="28">
        <v>66.228348537446394</v>
      </c>
      <c r="Q26" s="132"/>
      <c r="R26" s="6"/>
      <c r="S26" s="133"/>
    </row>
    <row r="27" spans="1:19" s="5" customFormat="1" ht="9" customHeight="1" x14ac:dyDescent="0.15">
      <c r="A27" s="173" t="s">
        <v>100</v>
      </c>
      <c r="B27" s="140" t="s">
        <v>26</v>
      </c>
      <c r="C27" s="141">
        <v>23.328904915543745</v>
      </c>
      <c r="D27" s="142">
        <v>28.889295516925895</v>
      </c>
      <c r="E27" s="142">
        <v>37.162773373064439</v>
      </c>
      <c r="F27" s="142">
        <v>33.595670726537996</v>
      </c>
      <c r="G27" s="142">
        <v>33.45393249188011</v>
      </c>
      <c r="H27" s="142">
        <v>35.310734463276837</v>
      </c>
      <c r="I27" s="142">
        <v>38.613446976903468</v>
      </c>
      <c r="J27" s="142">
        <v>43.541482137584886</v>
      </c>
      <c r="K27" s="142">
        <v>44.022231763751726</v>
      </c>
      <c r="L27" s="142">
        <v>46.19489668496572</v>
      </c>
      <c r="M27" s="142">
        <v>53.619766169440766</v>
      </c>
      <c r="N27" s="25">
        <v>53.768033725987472</v>
      </c>
      <c r="O27" s="25">
        <v>60.174647098726219</v>
      </c>
      <c r="P27" s="24">
        <v>64.967300988868644</v>
      </c>
      <c r="Q27" s="132"/>
      <c r="R27" s="6"/>
      <c r="S27" s="133"/>
    </row>
    <row r="28" spans="1:19" s="5" customFormat="1" ht="9" customHeight="1" x14ac:dyDescent="0.15">
      <c r="A28" s="171"/>
      <c r="B28" s="96" t="s">
        <v>25</v>
      </c>
      <c r="C28" s="135">
        <v>18.08552998327626</v>
      </c>
      <c r="D28" s="136">
        <v>21.839645843580914</v>
      </c>
      <c r="E28" s="136">
        <v>26.121984456191317</v>
      </c>
      <c r="F28" s="136">
        <v>24.333079044657005</v>
      </c>
      <c r="G28" s="136">
        <v>26.388200297471492</v>
      </c>
      <c r="H28" s="136">
        <v>31.85318905754297</v>
      </c>
      <c r="I28" s="136">
        <v>32.704635108481263</v>
      </c>
      <c r="J28" s="136">
        <v>33.786961524991241</v>
      </c>
      <c r="K28" s="136">
        <v>35.120495353637146</v>
      </c>
      <c r="L28" s="136">
        <v>37.589767240486786</v>
      </c>
      <c r="M28" s="136">
        <v>42.608002346084056</v>
      </c>
      <c r="N28" s="14">
        <v>45.995186437078594</v>
      </c>
      <c r="O28" s="14">
        <v>47.174936153129991</v>
      </c>
      <c r="P28" s="13">
        <v>48.467686836841366</v>
      </c>
      <c r="Q28" s="132"/>
      <c r="R28" s="6"/>
      <c r="S28" s="133"/>
    </row>
    <row r="29" spans="1:19" s="5" customFormat="1" ht="9" customHeight="1" x14ac:dyDescent="0.15">
      <c r="A29" s="171"/>
      <c r="B29" s="96" t="s">
        <v>24</v>
      </c>
      <c r="C29" s="135">
        <v>0</v>
      </c>
      <c r="D29" s="136">
        <v>0</v>
      </c>
      <c r="E29" s="136">
        <v>0</v>
      </c>
      <c r="F29" s="136">
        <v>0</v>
      </c>
      <c r="G29" s="136">
        <v>0.15641663704230357</v>
      </c>
      <c r="H29" s="136">
        <v>1.0319988918132705</v>
      </c>
      <c r="I29" s="136">
        <v>3.2202530890879553</v>
      </c>
      <c r="J29" s="136">
        <v>7.2846329974186581</v>
      </c>
      <c r="K29" s="136">
        <v>7.1657784654174552</v>
      </c>
      <c r="L29" s="136">
        <v>7.9842579877971094</v>
      </c>
      <c r="M29" s="136">
        <v>8.6020602983446288</v>
      </c>
      <c r="N29" s="14">
        <v>9.7984368572603877</v>
      </c>
      <c r="O29" s="14">
        <v>10.057771328604945</v>
      </c>
      <c r="P29" s="13">
        <v>10.830893339318855</v>
      </c>
      <c r="Q29" s="132"/>
      <c r="R29" s="6"/>
      <c r="S29" s="133"/>
    </row>
    <row r="30" spans="1:19" s="5" customFormat="1" ht="9" customHeight="1" x14ac:dyDescent="0.15">
      <c r="A30" s="171"/>
      <c r="B30" s="96" t="s">
        <v>23</v>
      </c>
      <c r="C30" s="135">
        <v>0</v>
      </c>
      <c r="D30" s="136">
        <v>0</v>
      </c>
      <c r="E30" s="136">
        <v>0</v>
      </c>
      <c r="F30" s="136">
        <v>3.8586584531143053</v>
      </c>
      <c r="G30" s="136">
        <v>5.9807326552551059</v>
      </c>
      <c r="H30" s="136">
        <v>8.4663552330782217</v>
      </c>
      <c r="I30" s="136">
        <v>11.776895182179244</v>
      </c>
      <c r="J30" s="136">
        <v>12.925628498156156</v>
      </c>
      <c r="K30" s="136">
        <v>15.257682868759387</v>
      </c>
      <c r="L30" s="136">
        <v>17.833960910883988</v>
      </c>
      <c r="M30" s="136">
        <v>19.063255830376217</v>
      </c>
      <c r="N30" s="14">
        <v>19.672216803678417</v>
      </c>
      <c r="O30" s="14">
        <v>20.188871432764188</v>
      </c>
      <c r="P30" s="13">
        <v>20.495713436889908</v>
      </c>
      <c r="Q30" s="132"/>
      <c r="R30" s="6"/>
      <c r="S30" s="133"/>
    </row>
    <row r="31" spans="1:19" s="5" customFormat="1" ht="9" customHeight="1" x14ac:dyDescent="0.15">
      <c r="A31" s="174"/>
      <c r="B31" s="137" t="s">
        <v>4</v>
      </c>
      <c r="C31" s="138">
        <v>20.478025546655122</v>
      </c>
      <c r="D31" s="139">
        <v>25.058058910998614</v>
      </c>
      <c r="E31" s="139">
        <v>31.176212669903702</v>
      </c>
      <c r="F31" s="139">
        <v>22.845050830904007</v>
      </c>
      <c r="G31" s="139">
        <v>15.124720055602751</v>
      </c>
      <c r="H31" s="139">
        <v>17.799893706389618</v>
      </c>
      <c r="I31" s="139">
        <v>20.06659530798261</v>
      </c>
      <c r="J31" s="139">
        <v>23.146359963634602</v>
      </c>
      <c r="K31" s="139">
        <v>23.99692592582878</v>
      </c>
      <c r="L31" s="139">
        <v>25.858298061986545</v>
      </c>
      <c r="M31" s="139">
        <v>29.360787734000731</v>
      </c>
      <c r="N31" s="27">
        <v>30.996747835377935</v>
      </c>
      <c r="O31" s="27">
        <v>33.139200338990392</v>
      </c>
      <c r="P31" s="26">
        <v>35.047362892551469</v>
      </c>
      <c r="Q31" s="132"/>
      <c r="R31" s="6"/>
      <c r="S31" s="133"/>
    </row>
    <row r="32" spans="1:19" s="5" customFormat="1" ht="9" customHeight="1" x14ac:dyDescent="0.15">
      <c r="A32" s="175" t="s">
        <v>101</v>
      </c>
      <c r="B32" s="140" t="s">
        <v>22</v>
      </c>
      <c r="C32" s="141">
        <v>15.809337018216398</v>
      </c>
      <c r="D32" s="142">
        <v>19.676908133531004</v>
      </c>
      <c r="E32" s="142">
        <v>23.825957393195402</v>
      </c>
      <c r="F32" s="142">
        <v>28.502844574159848</v>
      </c>
      <c r="G32" s="142">
        <v>30.341653570626775</v>
      </c>
      <c r="H32" s="142">
        <v>34.434895300456994</v>
      </c>
      <c r="I32" s="142">
        <v>37.795538878078453</v>
      </c>
      <c r="J32" s="142">
        <v>40.997172265580815</v>
      </c>
      <c r="K32" s="142">
        <v>43.217198544481157</v>
      </c>
      <c r="L32" s="142">
        <v>50.553349563294816</v>
      </c>
      <c r="M32" s="142">
        <v>55.467424549580578</v>
      </c>
      <c r="N32" s="25">
        <v>42.26195512444356</v>
      </c>
      <c r="O32" s="25">
        <v>43.957364515880869</v>
      </c>
      <c r="P32" s="24">
        <v>45.353851857764091</v>
      </c>
      <c r="Q32" s="132"/>
      <c r="R32" s="6"/>
      <c r="S32" s="133"/>
    </row>
    <row r="33" spans="1:19" s="5" customFormat="1" ht="9" customHeight="1" x14ac:dyDescent="0.15">
      <c r="A33" s="175"/>
      <c r="B33" s="96" t="s">
        <v>21</v>
      </c>
      <c r="C33" s="135">
        <v>0</v>
      </c>
      <c r="D33" s="136">
        <v>0</v>
      </c>
      <c r="E33" s="136">
        <v>0</v>
      </c>
      <c r="F33" s="136">
        <v>7.5367442156722237</v>
      </c>
      <c r="G33" s="136">
        <v>11.417729719724196</v>
      </c>
      <c r="H33" s="136">
        <v>16.219369894982496</v>
      </c>
      <c r="I33" s="136">
        <v>16.652033947907523</v>
      </c>
      <c r="J33" s="136">
        <v>19.822502229510082</v>
      </c>
      <c r="K33" s="136">
        <v>21.34186211798152</v>
      </c>
      <c r="L33" s="136">
        <v>22.575092763724093</v>
      </c>
      <c r="M33" s="136">
        <v>23.647108484592653</v>
      </c>
      <c r="N33" s="14">
        <v>25.850141284224886</v>
      </c>
      <c r="O33" s="14">
        <v>26.193842394959717</v>
      </c>
      <c r="P33" s="13">
        <v>26.771536391056767</v>
      </c>
      <c r="Q33" s="132"/>
      <c r="R33" s="6"/>
      <c r="S33" s="133"/>
    </row>
    <row r="34" spans="1:19" s="5" customFormat="1" ht="9" customHeight="1" x14ac:dyDescent="0.15">
      <c r="A34" s="175"/>
      <c r="B34" s="137" t="s">
        <v>4</v>
      </c>
      <c r="C34" s="138">
        <v>15.809337018216398</v>
      </c>
      <c r="D34" s="139">
        <v>19.676908133531004</v>
      </c>
      <c r="E34" s="139">
        <v>23.825957393195402</v>
      </c>
      <c r="F34" s="139">
        <v>23.276611453135978</v>
      </c>
      <c r="G34" s="139">
        <v>25.637899370056399</v>
      </c>
      <c r="H34" s="139">
        <v>29.959941198088934</v>
      </c>
      <c r="I34" s="139">
        <v>32.701724204789414</v>
      </c>
      <c r="J34" s="139">
        <v>35.93050349857338</v>
      </c>
      <c r="K34" s="139">
        <v>38.243924508790073</v>
      </c>
      <c r="L34" s="139">
        <v>44.296144841382528</v>
      </c>
      <c r="M34" s="139">
        <v>48.511431480325179</v>
      </c>
      <c r="N34" s="27">
        <v>39.571505503933992</v>
      </c>
      <c r="O34" s="27">
        <v>41.080352855389755</v>
      </c>
      <c r="P34" s="26">
        <v>42.38228105465793</v>
      </c>
      <c r="Q34" s="132"/>
      <c r="R34" s="6"/>
      <c r="S34" s="133"/>
    </row>
    <row r="35" spans="1:19" s="5" customFormat="1" ht="9" customHeight="1" x14ac:dyDescent="0.15">
      <c r="A35" s="173" t="s">
        <v>102</v>
      </c>
      <c r="B35" s="140" t="s">
        <v>20</v>
      </c>
      <c r="C35" s="141"/>
      <c r="D35" s="142"/>
      <c r="E35" s="142"/>
      <c r="F35" s="142"/>
      <c r="G35" s="142"/>
      <c r="H35" s="142"/>
      <c r="I35" s="142"/>
      <c r="J35" s="142"/>
      <c r="K35" s="142"/>
      <c r="L35" s="142"/>
      <c r="M35" s="142"/>
      <c r="N35" s="25">
        <v>0</v>
      </c>
      <c r="O35" s="25">
        <v>77.916424840394654</v>
      </c>
      <c r="P35" s="24">
        <v>94.174247725682292</v>
      </c>
      <c r="Q35" s="132"/>
      <c r="R35" s="6"/>
      <c r="S35" s="133"/>
    </row>
    <row r="36" spans="1:19" s="5" customFormat="1" ht="9" customHeight="1" x14ac:dyDescent="0.15">
      <c r="A36" s="171"/>
      <c r="B36" s="96" t="s">
        <v>19</v>
      </c>
      <c r="C36" s="135">
        <v>0</v>
      </c>
      <c r="D36" s="136">
        <v>0.65219708894337802</v>
      </c>
      <c r="E36" s="136">
        <v>3.6158164688193426</v>
      </c>
      <c r="F36" s="136">
        <v>6.3073757518201958</v>
      </c>
      <c r="G36" s="136">
        <v>5.4610804008250824</v>
      </c>
      <c r="H36" s="136">
        <v>8.2206117056068653</v>
      </c>
      <c r="I36" s="136">
        <v>9.8648508280916385</v>
      </c>
      <c r="J36" s="136">
        <v>12.242409489743711</v>
      </c>
      <c r="K36" s="136">
        <v>14.793109338659448</v>
      </c>
      <c r="L36" s="136">
        <v>18.442188177792669</v>
      </c>
      <c r="M36" s="136">
        <v>21.294052032138485</v>
      </c>
      <c r="N36" s="14">
        <v>24.510237415983735</v>
      </c>
      <c r="O36" s="14">
        <v>26.126315828704211</v>
      </c>
      <c r="P36" s="13">
        <v>29.251644931534791</v>
      </c>
      <c r="Q36" s="132"/>
      <c r="R36" s="6"/>
      <c r="S36" s="133"/>
    </row>
    <row r="37" spans="1:19" s="5" customFormat="1" ht="9" customHeight="1" x14ac:dyDescent="0.15">
      <c r="A37" s="171"/>
      <c r="B37" s="96" t="s">
        <v>18</v>
      </c>
      <c r="C37" s="150">
        <v>0</v>
      </c>
      <c r="D37" s="151">
        <v>0</v>
      </c>
      <c r="E37" s="151">
        <v>0</v>
      </c>
      <c r="F37" s="151">
        <v>0</v>
      </c>
      <c r="G37" s="151">
        <v>0</v>
      </c>
      <c r="H37" s="151">
        <v>0</v>
      </c>
      <c r="I37" s="151">
        <v>0</v>
      </c>
      <c r="J37" s="151">
        <v>0</v>
      </c>
      <c r="K37" s="151">
        <v>1.3985299543093905</v>
      </c>
      <c r="L37" s="151">
        <v>2.6810625842200317</v>
      </c>
      <c r="M37" s="151">
        <v>4.2757431662078362</v>
      </c>
      <c r="N37" s="23">
        <v>5.6567660304524985</v>
      </c>
      <c r="O37" s="23">
        <v>6.8148570643936397</v>
      </c>
      <c r="P37" s="22">
        <v>8.7873983531938826</v>
      </c>
      <c r="Q37" s="132"/>
      <c r="R37" s="6"/>
      <c r="S37" s="133"/>
    </row>
    <row r="38" spans="1:19" s="5" customFormat="1" ht="9" customHeight="1" x14ac:dyDescent="0.15">
      <c r="A38" s="174"/>
      <c r="B38" s="137" t="s">
        <v>4</v>
      </c>
      <c r="C38" s="138">
        <v>0</v>
      </c>
      <c r="D38" s="139">
        <v>0.65219708894337802</v>
      </c>
      <c r="E38" s="139">
        <v>3.6158164688193426</v>
      </c>
      <c r="F38" s="139">
        <v>6.3073757518201958</v>
      </c>
      <c r="G38" s="139">
        <v>5.4610804008250824</v>
      </c>
      <c r="H38" s="139">
        <v>8.2206117056068653</v>
      </c>
      <c r="I38" s="139">
        <v>9.8648508280916385</v>
      </c>
      <c r="J38" s="139">
        <v>12.242409489743711</v>
      </c>
      <c r="K38" s="139">
        <v>11.063790784809807</v>
      </c>
      <c r="L38" s="139">
        <v>14.068606839582753</v>
      </c>
      <c r="M38" s="139">
        <v>16.634715968699989</v>
      </c>
      <c r="N38" s="27">
        <v>19.068566952711549</v>
      </c>
      <c r="O38" s="27">
        <v>21.887392575048075</v>
      </c>
      <c r="P38" s="26">
        <v>24.940977921444095</v>
      </c>
      <c r="Q38" s="132"/>
      <c r="R38" s="6"/>
      <c r="S38" s="133"/>
    </row>
    <row r="39" spans="1:19" s="5" customFormat="1" ht="9" customHeight="1" x14ac:dyDescent="0.15">
      <c r="A39" s="175" t="s">
        <v>103</v>
      </c>
      <c r="B39" s="140" t="s">
        <v>17</v>
      </c>
      <c r="C39" s="141">
        <v>20.616288036063825</v>
      </c>
      <c r="D39" s="142">
        <v>23.260154499317366</v>
      </c>
      <c r="E39" s="142">
        <v>26.01347924579337</v>
      </c>
      <c r="F39" s="142">
        <v>30.672890687906683</v>
      </c>
      <c r="G39" s="142">
        <v>34.019993781586116</v>
      </c>
      <c r="H39" s="142">
        <v>36.810104814936132</v>
      </c>
      <c r="I39" s="142">
        <v>40.547751359797175</v>
      </c>
      <c r="J39" s="142">
        <v>45.835208511968773</v>
      </c>
      <c r="K39" s="142">
        <v>48.119844400915937</v>
      </c>
      <c r="L39" s="142">
        <v>49.890251833652492</v>
      </c>
      <c r="M39" s="142">
        <v>53.639794137708051</v>
      </c>
      <c r="N39" s="25">
        <v>58.069004734436461</v>
      </c>
      <c r="O39" s="25">
        <v>53.691950660550525</v>
      </c>
      <c r="P39" s="24">
        <v>57.211137566043689</v>
      </c>
      <c r="Q39" s="132"/>
      <c r="R39" s="6"/>
      <c r="S39" s="133"/>
    </row>
    <row r="40" spans="1:19" s="5" customFormat="1" ht="9" customHeight="1" x14ac:dyDescent="0.15">
      <c r="A40" s="175"/>
      <c r="B40" s="96" t="s">
        <v>16</v>
      </c>
      <c r="C40" s="135">
        <v>9.7215798723522333</v>
      </c>
      <c r="D40" s="136">
        <v>16.261489867622529</v>
      </c>
      <c r="E40" s="136">
        <v>22.65285724133177</v>
      </c>
      <c r="F40" s="136">
        <v>23.434793683138054</v>
      </c>
      <c r="G40" s="136">
        <v>26.695340679499736</v>
      </c>
      <c r="H40" s="136">
        <v>30.903230479501666</v>
      </c>
      <c r="I40" s="136">
        <v>33.701676839963518</v>
      </c>
      <c r="J40" s="136">
        <v>31.638274820774072</v>
      </c>
      <c r="K40" s="136">
        <v>32.654081760220031</v>
      </c>
      <c r="L40" s="136">
        <v>37.947152640115334</v>
      </c>
      <c r="M40" s="136">
        <v>46.005743594327917</v>
      </c>
      <c r="N40" s="14">
        <v>45.820921868449503</v>
      </c>
      <c r="O40" s="14">
        <v>45.356820333155625</v>
      </c>
      <c r="P40" s="13">
        <v>47.339797910454166</v>
      </c>
      <c r="Q40" s="132"/>
      <c r="R40" s="6"/>
      <c r="S40" s="133"/>
    </row>
    <row r="41" spans="1:19" s="5" customFormat="1" ht="9" customHeight="1" x14ac:dyDescent="0.15">
      <c r="A41" s="175"/>
      <c r="B41" s="96" t="s">
        <v>15</v>
      </c>
      <c r="C41" s="135">
        <v>11.227935130596036</v>
      </c>
      <c r="D41" s="136">
        <v>19.127846059174747</v>
      </c>
      <c r="E41" s="136">
        <v>24.806139579502759</v>
      </c>
      <c r="F41" s="136">
        <v>21.610295365812256</v>
      </c>
      <c r="G41" s="136">
        <v>24.563116992228522</v>
      </c>
      <c r="H41" s="136">
        <v>27.664640065396206</v>
      </c>
      <c r="I41" s="136">
        <v>29.836547182459878</v>
      </c>
      <c r="J41" s="136">
        <v>33.76630901909278</v>
      </c>
      <c r="K41" s="136">
        <v>36.084447491715231</v>
      </c>
      <c r="L41" s="136">
        <v>39.938421347266278</v>
      </c>
      <c r="M41" s="136">
        <v>43.747619887983802</v>
      </c>
      <c r="N41" s="14">
        <v>45.379034321429877</v>
      </c>
      <c r="O41" s="14">
        <v>34.677173581784146</v>
      </c>
      <c r="P41" s="13">
        <v>37.62881812273698</v>
      </c>
      <c r="Q41" s="132"/>
      <c r="R41" s="6"/>
      <c r="S41" s="133"/>
    </row>
    <row r="42" spans="1:19" s="5" customFormat="1" ht="9" customHeight="1" x14ac:dyDescent="0.15">
      <c r="A42" s="175"/>
      <c r="B42" s="137" t="s">
        <v>4</v>
      </c>
      <c r="C42" s="138">
        <v>16.593639879059062</v>
      </c>
      <c r="D42" s="139">
        <v>21.043940511731492</v>
      </c>
      <c r="E42" s="139">
        <v>25.105777586895321</v>
      </c>
      <c r="F42" s="139">
        <v>26.683493185259969</v>
      </c>
      <c r="G42" s="139">
        <v>29.94125626271687</v>
      </c>
      <c r="H42" s="139">
        <v>33.129305783409954</v>
      </c>
      <c r="I42" s="139">
        <v>36.265900424352779</v>
      </c>
      <c r="J42" s="139">
        <v>39.653213751868464</v>
      </c>
      <c r="K42" s="139">
        <v>41.725723111553947</v>
      </c>
      <c r="L42" s="139">
        <v>44.79419234270928</v>
      </c>
      <c r="M42" s="139">
        <v>49.506308283049918</v>
      </c>
      <c r="N42" s="27">
        <v>52.287214228367432</v>
      </c>
      <c r="O42" s="27">
        <v>46.463137713863276</v>
      </c>
      <c r="P42" s="26">
        <v>49.600269841151523</v>
      </c>
      <c r="Q42" s="132"/>
      <c r="R42" s="6"/>
      <c r="S42" s="133"/>
    </row>
    <row r="43" spans="1:19" s="5" customFormat="1" ht="9" customHeight="1" x14ac:dyDescent="0.15">
      <c r="A43" s="143"/>
      <c r="B43" s="140" t="s">
        <v>14</v>
      </c>
      <c r="C43" s="141"/>
      <c r="D43" s="142"/>
      <c r="E43" s="142"/>
      <c r="F43" s="142"/>
      <c r="G43" s="142"/>
      <c r="H43" s="142"/>
      <c r="I43" s="142"/>
      <c r="J43" s="142"/>
      <c r="K43" s="142"/>
      <c r="L43" s="142"/>
      <c r="M43" s="142"/>
      <c r="N43" s="25">
        <v>0</v>
      </c>
      <c r="O43" s="25">
        <v>38.16475495307612</v>
      </c>
      <c r="P43" s="24">
        <v>12.63432852920285</v>
      </c>
      <c r="Q43" s="132"/>
      <c r="R43" s="6"/>
      <c r="S43" s="133"/>
    </row>
    <row r="44" spans="1:19" s="5" customFormat="1" ht="9" customHeight="1" x14ac:dyDescent="0.15">
      <c r="A44" s="174" t="s">
        <v>104</v>
      </c>
      <c r="B44" s="96" t="s">
        <v>119</v>
      </c>
      <c r="C44" s="135">
        <v>16.550330940923349</v>
      </c>
      <c r="D44" s="136">
        <v>21.465545899225908</v>
      </c>
      <c r="E44" s="136">
        <v>18.146469384756241</v>
      </c>
      <c r="F44" s="136">
        <v>19.778333362677607</v>
      </c>
      <c r="G44" s="136">
        <v>23.646035632863295</v>
      </c>
      <c r="H44" s="136">
        <v>24.082490068823461</v>
      </c>
      <c r="I44" s="136">
        <v>23.962864636642784</v>
      </c>
      <c r="J44" s="136">
        <v>23.655735370888902</v>
      </c>
      <c r="K44" s="136">
        <v>24.444843105290662</v>
      </c>
      <c r="L44" s="136">
        <v>25.870585614307334</v>
      </c>
      <c r="M44" s="136">
        <v>28.34167965263174</v>
      </c>
      <c r="N44" s="14">
        <v>30.811376462234179</v>
      </c>
      <c r="O44" s="14">
        <v>32.572468841898896</v>
      </c>
      <c r="P44" s="13">
        <v>34.171619960756971</v>
      </c>
      <c r="Q44" s="132"/>
      <c r="R44" s="6"/>
      <c r="S44" s="133"/>
    </row>
    <row r="45" spans="1:19" s="5" customFormat="1" ht="9" customHeight="1" x14ac:dyDescent="0.15">
      <c r="A45" s="175"/>
      <c r="B45" s="96" t="s">
        <v>13</v>
      </c>
      <c r="C45" s="135">
        <v>28.373088300081818</v>
      </c>
      <c r="D45" s="136">
        <v>30.820568388908043</v>
      </c>
      <c r="E45" s="136">
        <v>36.36234289779464</v>
      </c>
      <c r="F45" s="136">
        <v>35.004490081002878</v>
      </c>
      <c r="G45" s="136">
        <v>36.042832167832167</v>
      </c>
      <c r="H45" s="136">
        <v>39.011220078389151</v>
      </c>
      <c r="I45" s="136">
        <v>34.719822515042523</v>
      </c>
      <c r="J45" s="136">
        <v>36.381404439480661</v>
      </c>
      <c r="K45" s="136">
        <v>37.729496761008967</v>
      </c>
      <c r="L45" s="136">
        <v>40.470612598853236</v>
      </c>
      <c r="M45" s="136">
        <v>44.04932551770036</v>
      </c>
      <c r="N45" s="14">
        <v>46.275039956537398</v>
      </c>
      <c r="O45" s="14">
        <v>47.282020669328062</v>
      </c>
      <c r="P45" s="13">
        <v>48.242284907978444</v>
      </c>
      <c r="Q45" s="132"/>
      <c r="R45" s="6"/>
      <c r="S45" s="133"/>
    </row>
    <row r="46" spans="1:19" s="5" customFormat="1" ht="9" customHeight="1" x14ac:dyDescent="0.15">
      <c r="A46" s="175"/>
      <c r="B46" s="96" t="s">
        <v>12</v>
      </c>
      <c r="C46" s="135">
        <v>21.785775402477391</v>
      </c>
      <c r="D46" s="136">
        <v>26.191429198569381</v>
      </c>
      <c r="E46" s="136">
        <v>29.170278953541739</v>
      </c>
      <c r="F46" s="136">
        <v>32.65906720309939</v>
      </c>
      <c r="G46" s="136">
        <v>36.247491962192086</v>
      </c>
      <c r="H46" s="136">
        <v>37.53213968491422</v>
      </c>
      <c r="I46" s="136">
        <v>37.85204569821196</v>
      </c>
      <c r="J46" s="136">
        <v>38.593587010748784</v>
      </c>
      <c r="K46" s="136">
        <v>39.559424729426865</v>
      </c>
      <c r="L46" s="136">
        <v>39.778980756083072</v>
      </c>
      <c r="M46" s="136">
        <v>42.240527548652821</v>
      </c>
      <c r="N46" s="14">
        <v>42.979923749917361</v>
      </c>
      <c r="O46" s="14">
        <v>43.530910009112169</v>
      </c>
      <c r="P46" s="13">
        <v>45.639311635352783</v>
      </c>
      <c r="Q46" s="132"/>
      <c r="R46" s="6"/>
      <c r="S46" s="133"/>
    </row>
    <row r="47" spans="1:19" s="5" customFormat="1" ht="9" customHeight="1" x14ac:dyDescent="0.15">
      <c r="A47" s="175"/>
      <c r="B47" s="137" t="s">
        <v>4</v>
      </c>
      <c r="C47" s="138">
        <v>22.731496678209332</v>
      </c>
      <c r="D47" s="139">
        <v>26.540354863139676</v>
      </c>
      <c r="E47" s="139">
        <v>27.702839857509602</v>
      </c>
      <c r="F47" s="139">
        <v>28.701346063495297</v>
      </c>
      <c r="G47" s="139">
        <v>31.444017695301113</v>
      </c>
      <c r="H47" s="139">
        <v>33.03518971848225</v>
      </c>
      <c r="I47" s="139">
        <v>31.742311617999469</v>
      </c>
      <c r="J47" s="139">
        <v>32.508594830774292</v>
      </c>
      <c r="K47" s="139">
        <v>33.561734623489535</v>
      </c>
      <c r="L47" s="139">
        <v>35.222884284170775</v>
      </c>
      <c r="M47" s="139">
        <v>38.133455205408161</v>
      </c>
      <c r="N47" s="27">
        <v>37.285669168913834</v>
      </c>
      <c r="O47" s="27">
        <v>41.037914851304421</v>
      </c>
      <c r="P47" s="26">
        <v>37.262460479051832</v>
      </c>
      <c r="Q47" s="132"/>
      <c r="R47" s="6"/>
      <c r="S47" s="133"/>
    </row>
    <row r="48" spans="1:19" s="5" customFormat="1" ht="9" customHeight="1" x14ac:dyDescent="0.15">
      <c r="A48" s="173" t="s">
        <v>105</v>
      </c>
      <c r="B48" s="140" t="s">
        <v>96</v>
      </c>
      <c r="C48" s="141"/>
      <c r="D48" s="142"/>
      <c r="E48" s="142"/>
      <c r="F48" s="142"/>
      <c r="G48" s="142"/>
      <c r="H48" s="142"/>
      <c r="I48" s="142"/>
      <c r="J48" s="142"/>
      <c r="K48" s="142"/>
      <c r="L48" s="142"/>
      <c r="M48" s="142"/>
      <c r="N48" s="25">
        <v>0</v>
      </c>
      <c r="O48" s="25">
        <v>66.572724084372965</v>
      </c>
      <c r="P48" s="24">
        <v>68.430988912916618</v>
      </c>
      <c r="Q48" s="132"/>
      <c r="R48" s="6"/>
      <c r="S48" s="133"/>
    </row>
    <row r="49" spans="1:19" s="5" customFormat="1" ht="9" customHeight="1" x14ac:dyDescent="0.15">
      <c r="A49" s="171"/>
      <c r="B49" s="96" t="s">
        <v>11</v>
      </c>
      <c r="C49" s="135">
        <v>29.696839955868064</v>
      </c>
      <c r="D49" s="136">
        <v>33.345180972691189</v>
      </c>
      <c r="E49" s="136">
        <v>38.472316576086953</v>
      </c>
      <c r="F49" s="136">
        <v>33.649208307010419</v>
      </c>
      <c r="G49" s="136">
        <v>39.531747263836067</v>
      </c>
      <c r="H49" s="136">
        <v>42.226753212742473</v>
      </c>
      <c r="I49" s="136">
        <v>43.527306745624472</v>
      </c>
      <c r="J49" s="136">
        <v>49.104032301288122</v>
      </c>
      <c r="K49" s="136">
        <v>54.749026491895606</v>
      </c>
      <c r="L49" s="136">
        <v>43.125249567416482</v>
      </c>
      <c r="M49" s="136">
        <v>47.376249405045215</v>
      </c>
      <c r="N49" s="14">
        <v>53.033163044419432</v>
      </c>
      <c r="O49" s="14">
        <v>58.767275419545904</v>
      </c>
      <c r="P49" s="13">
        <v>53.11749536983703</v>
      </c>
      <c r="Q49" s="132"/>
      <c r="R49" s="6"/>
      <c r="S49" s="133"/>
    </row>
    <row r="50" spans="1:19" s="5" customFormat="1" ht="9" customHeight="1" x14ac:dyDescent="0.15">
      <c r="A50" s="171"/>
      <c r="B50" s="96" t="s">
        <v>10</v>
      </c>
      <c r="C50" s="135">
        <v>8.8444157520981275</v>
      </c>
      <c r="D50" s="136">
        <v>12.39615430680618</v>
      </c>
      <c r="E50" s="136">
        <v>17.031940197077809</v>
      </c>
      <c r="F50" s="136">
        <v>14.076375077326272</v>
      </c>
      <c r="G50" s="136">
        <v>15.877048056264814</v>
      </c>
      <c r="H50" s="136">
        <v>16.292073308210135</v>
      </c>
      <c r="I50" s="136">
        <v>19.937702609258331</v>
      </c>
      <c r="J50" s="136">
        <v>23.543193447416265</v>
      </c>
      <c r="K50" s="136">
        <v>28.46843431255045</v>
      </c>
      <c r="L50" s="136">
        <v>32.905317299333525</v>
      </c>
      <c r="M50" s="136">
        <v>37.850066168317895</v>
      </c>
      <c r="N50" s="14">
        <v>40.815294712459874</v>
      </c>
      <c r="O50" s="14">
        <v>46.453168641465574</v>
      </c>
      <c r="P50" s="13">
        <v>50.942969050691666</v>
      </c>
      <c r="Q50" s="132"/>
      <c r="R50" s="6"/>
      <c r="S50" s="133"/>
    </row>
    <row r="51" spans="1:19" s="5" customFormat="1" ht="9" customHeight="1" x14ac:dyDescent="0.15">
      <c r="A51" s="171"/>
      <c r="B51" s="96" t="s">
        <v>9</v>
      </c>
      <c r="C51" s="135">
        <v>0</v>
      </c>
      <c r="D51" s="136">
        <v>0</v>
      </c>
      <c r="E51" s="136">
        <v>0</v>
      </c>
      <c r="F51" s="136">
        <v>0</v>
      </c>
      <c r="G51" s="136">
        <v>0</v>
      </c>
      <c r="H51" s="136">
        <v>3.1946158445821298</v>
      </c>
      <c r="I51" s="136">
        <v>6.6784572392437251</v>
      </c>
      <c r="J51" s="136">
        <v>8.262779778628401</v>
      </c>
      <c r="K51" s="136">
        <v>9.164506355998375</v>
      </c>
      <c r="L51" s="136">
        <v>10.265236633903728</v>
      </c>
      <c r="M51" s="136">
        <v>11.253052322872072</v>
      </c>
      <c r="N51" s="14">
        <v>13.580475863731618</v>
      </c>
      <c r="O51" s="14">
        <v>15.075878471216706</v>
      </c>
      <c r="P51" s="13">
        <v>16.173451932945603</v>
      </c>
      <c r="Q51" s="132"/>
      <c r="R51" s="6"/>
      <c r="S51" s="133"/>
    </row>
    <row r="52" spans="1:19" s="5" customFormat="1" ht="9" customHeight="1" x14ac:dyDescent="0.15">
      <c r="A52" s="171"/>
      <c r="B52" s="96" t="s">
        <v>8</v>
      </c>
      <c r="C52" s="135">
        <v>0</v>
      </c>
      <c r="D52" s="136">
        <v>0</v>
      </c>
      <c r="E52" s="136">
        <v>0</v>
      </c>
      <c r="F52" s="136">
        <v>0</v>
      </c>
      <c r="G52" s="136">
        <v>2.8900799334657856</v>
      </c>
      <c r="H52" s="136">
        <v>6.1739734313044652</v>
      </c>
      <c r="I52" s="136">
        <v>12.634100386325962</v>
      </c>
      <c r="J52" s="136">
        <v>17.318129725599867</v>
      </c>
      <c r="K52" s="136">
        <v>16.584856247406158</v>
      </c>
      <c r="L52" s="136">
        <v>23.005384238864416</v>
      </c>
      <c r="M52" s="136">
        <v>25.626166250044008</v>
      </c>
      <c r="N52" s="14">
        <v>27.010339486793082</v>
      </c>
      <c r="O52" s="14">
        <v>28.617639062205896</v>
      </c>
      <c r="P52" s="13">
        <v>30.941617242475772</v>
      </c>
      <c r="Q52" s="132"/>
      <c r="R52" s="6"/>
      <c r="S52" s="133"/>
    </row>
    <row r="53" spans="1:19" s="5" customFormat="1" ht="9" customHeight="1" x14ac:dyDescent="0.15">
      <c r="A53" s="174"/>
      <c r="B53" s="137" t="s">
        <v>4</v>
      </c>
      <c r="C53" s="138">
        <v>17.254547748872611</v>
      </c>
      <c r="D53" s="139">
        <v>21.272283471484059</v>
      </c>
      <c r="E53" s="139">
        <v>26.222456804503981</v>
      </c>
      <c r="F53" s="139">
        <v>22.847716548028473</v>
      </c>
      <c r="G53" s="139">
        <v>18.673505070521042</v>
      </c>
      <c r="H53" s="139">
        <v>15.133424427767897</v>
      </c>
      <c r="I53" s="139">
        <v>19.033549996717223</v>
      </c>
      <c r="J53" s="139">
        <v>22.782766481293969</v>
      </c>
      <c r="K53" s="139">
        <v>25.338172392345992</v>
      </c>
      <c r="L53" s="139">
        <v>27.619634811477354</v>
      </c>
      <c r="M53" s="139">
        <v>30.937926586431892</v>
      </c>
      <c r="N53" s="27">
        <v>30.588040759802404</v>
      </c>
      <c r="O53" s="27">
        <v>41.22897142353029</v>
      </c>
      <c r="P53" s="26">
        <v>42.716598819981385</v>
      </c>
      <c r="Q53" s="132"/>
      <c r="R53" s="6"/>
      <c r="S53" s="133"/>
    </row>
    <row r="54" spans="1:19" s="5" customFormat="1" ht="9" customHeight="1" x14ac:dyDescent="0.15">
      <c r="A54" s="175" t="s">
        <v>106</v>
      </c>
      <c r="B54" s="140" t="s">
        <v>7</v>
      </c>
      <c r="C54" s="141">
        <v>25.205663116489895</v>
      </c>
      <c r="D54" s="142">
        <v>23.416590849653943</v>
      </c>
      <c r="E54" s="142">
        <v>27.518470088264142</v>
      </c>
      <c r="F54" s="142">
        <v>28.763849036124405</v>
      </c>
      <c r="G54" s="142">
        <v>31.630462377341413</v>
      </c>
      <c r="H54" s="142">
        <v>33.174687866823177</v>
      </c>
      <c r="I54" s="142">
        <v>36.524041122392504</v>
      </c>
      <c r="J54" s="142">
        <v>36.296455245531561</v>
      </c>
      <c r="K54" s="142">
        <v>37.34395358240856</v>
      </c>
      <c r="L54" s="142">
        <v>40.688430010034629</v>
      </c>
      <c r="M54" s="142">
        <v>45.868424190611314</v>
      </c>
      <c r="N54" s="25">
        <v>48.370012210012206</v>
      </c>
      <c r="O54" s="25">
        <v>48.673308422382121</v>
      </c>
      <c r="P54" s="24">
        <v>47.398730747571769</v>
      </c>
      <c r="Q54" s="132"/>
      <c r="R54" s="6"/>
      <c r="S54" s="133"/>
    </row>
    <row r="55" spans="1:19" s="5" customFormat="1" ht="9" customHeight="1" x14ac:dyDescent="0.15">
      <c r="A55" s="175"/>
      <c r="B55" s="96" t="s">
        <v>6</v>
      </c>
      <c r="C55" s="135"/>
      <c r="D55" s="136"/>
      <c r="E55" s="136"/>
      <c r="F55" s="136"/>
      <c r="G55" s="136"/>
      <c r="H55" s="136"/>
      <c r="I55" s="136"/>
      <c r="J55" s="136"/>
      <c r="K55" s="136"/>
      <c r="L55" s="136"/>
      <c r="M55" s="136"/>
      <c r="N55" s="14">
        <v>0</v>
      </c>
      <c r="O55" s="14">
        <v>57.705633610694306</v>
      </c>
      <c r="P55" s="13">
        <v>64.107225746557333</v>
      </c>
      <c r="Q55" s="132"/>
      <c r="R55" s="6"/>
      <c r="S55" s="133"/>
    </row>
    <row r="56" spans="1:19" s="5" customFormat="1" ht="9" customHeight="1" x14ac:dyDescent="0.15">
      <c r="A56" s="175"/>
      <c r="B56" s="96" t="s">
        <v>5</v>
      </c>
      <c r="C56" s="150">
        <v>0</v>
      </c>
      <c r="D56" s="151">
        <v>0</v>
      </c>
      <c r="E56" s="151">
        <v>0</v>
      </c>
      <c r="F56" s="151">
        <v>0</v>
      </c>
      <c r="G56" s="151">
        <v>0</v>
      </c>
      <c r="H56" s="151">
        <v>0</v>
      </c>
      <c r="I56" s="151">
        <v>0</v>
      </c>
      <c r="J56" s="151">
        <v>0</v>
      </c>
      <c r="K56" s="151">
        <v>8.0330078619472189</v>
      </c>
      <c r="L56" s="151">
        <v>13.163026389479295</v>
      </c>
      <c r="M56" s="151">
        <v>17.834310510450827</v>
      </c>
      <c r="N56" s="23">
        <v>19.994682954980192</v>
      </c>
      <c r="O56" s="23">
        <v>22.556888705006205</v>
      </c>
      <c r="P56" s="22">
        <v>26.450167834163711</v>
      </c>
      <c r="Q56" s="132"/>
      <c r="R56" s="6"/>
      <c r="S56" s="133"/>
    </row>
    <row r="57" spans="1:19" s="5" customFormat="1" ht="9" customHeight="1" x14ac:dyDescent="0.15">
      <c r="A57" s="173"/>
      <c r="B57" s="96" t="s">
        <v>4</v>
      </c>
      <c r="C57" s="135">
        <v>25.205663116489895</v>
      </c>
      <c r="D57" s="136">
        <v>23.416590849653943</v>
      </c>
      <c r="E57" s="136">
        <v>27.518470088264142</v>
      </c>
      <c r="F57" s="136">
        <v>28.763849036124405</v>
      </c>
      <c r="G57" s="136">
        <v>31.630462377341413</v>
      </c>
      <c r="H57" s="136">
        <v>33.174687866823177</v>
      </c>
      <c r="I57" s="136">
        <v>36.524041122392504</v>
      </c>
      <c r="J57" s="136">
        <v>36.296455245531561</v>
      </c>
      <c r="K57" s="136">
        <v>30.362183728950576</v>
      </c>
      <c r="L57" s="136">
        <v>34.16721285268963</v>
      </c>
      <c r="M57" s="136">
        <v>39.315226750416585</v>
      </c>
      <c r="N57" s="14">
        <v>37.749790866456877</v>
      </c>
      <c r="O57" s="14">
        <v>44.387522513433325</v>
      </c>
      <c r="P57" s="13">
        <v>45.080776344229783</v>
      </c>
      <c r="Q57" s="132"/>
      <c r="R57" s="6"/>
      <c r="S57" s="133"/>
    </row>
    <row r="58" spans="1:19" s="5" customFormat="1" ht="9" customHeight="1" x14ac:dyDescent="0.15">
      <c r="A58" s="152" t="s">
        <v>107</v>
      </c>
      <c r="B58" s="153" t="s">
        <v>108</v>
      </c>
      <c r="C58" s="154"/>
      <c r="D58" s="155"/>
      <c r="E58" s="155"/>
      <c r="F58" s="155"/>
      <c r="G58" s="155"/>
      <c r="H58" s="155"/>
      <c r="I58" s="155"/>
      <c r="J58" s="155"/>
      <c r="K58" s="155"/>
      <c r="L58" s="155"/>
      <c r="M58" s="155"/>
      <c r="N58" s="21">
        <v>0</v>
      </c>
      <c r="O58" s="21">
        <v>0</v>
      </c>
      <c r="P58" s="20">
        <v>0.72812568719915949</v>
      </c>
      <c r="Q58" s="132"/>
      <c r="R58" s="6"/>
      <c r="S58" s="133"/>
    </row>
    <row r="59" spans="1:19" s="5" customFormat="1" ht="9" customHeight="1" x14ac:dyDescent="0.15">
      <c r="A59" s="176" t="s">
        <v>109</v>
      </c>
      <c r="B59" s="177"/>
      <c r="C59" s="144">
        <v>17.508912758085078</v>
      </c>
      <c r="D59" s="145">
        <v>20.069031841971587</v>
      </c>
      <c r="E59" s="145">
        <v>23.349638825445549</v>
      </c>
      <c r="F59" s="145">
        <v>25.068672328181336</v>
      </c>
      <c r="G59" s="145">
        <v>26.251131018958969</v>
      </c>
      <c r="H59" s="145">
        <v>28.319225015918121</v>
      </c>
      <c r="I59" s="145">
        <v>31.256372788554152</v>
      </c>
      <c r="J59" s="145">
        <v>34.64475004755689</v>
      </c>
      <c r="K59" s="145">
        <v>35.631890264569982</v>
      </c>
      <c r="L59" s="145">
        <v>38.828479447505764</v>
      </c>
      <c r="M59" s="145">
        <v>42.762525380604757</v>
      </c>
      <c r="N59" s="19">
        <v>44.654863922242789</v>
      </c>
      <c r="O59" s="19">
        <v>46.90792028626116</v>
      </c>
      <c r="P59" s="18">
        <v>47.584476839384251</v>
      </c>
      <c r="Q59" s="132"/>
      <c r="R59" s="6"/>
      <c r="S59" s="133"/>
    </row>
    <row r="60" spans="1:19" s="5" customFormat="1" ht="9" customHeight="1" x14ac:dyDescent="0.15">
      <c r="A60" s="176" t="s">
        <v>3</v>
      </c>
      <c r="B60" s="177"/>
      <c r="C60" s="144">
        <v>21.658688614918383</v>
      </c>
      <c r="D60" s="145">
        <v>26.962166363392122</v>
      </c>
      <c r="E60" s="145">
        <v>33.097208362414534</v>
      </c>
      <c r="F60" s="145">
        <v>37.180879057878109</v>
      </c>
      <c r="G60" s="145">
        <v>40.121801399960042</v>
      </c>
      <c r="H60" s="145">
        <v>44.082248400791208</v>
      </c>
      <c r="I60" s="145">
        <v>48.84236266406343</v>
      </c>
      <c r="J60" s="145">
        <v>53.077939084732364</v>
      </c>
      <c r="K60" s="145">
        <v>55.561860326305656</v>
      </c>
      <c r="L60" s="145">
        <v>59.168032291609741</v>
      </c>
      <c r="M60" s="145">
        <v>62.640160999871007</v>
      </c>
      <c r="N60" s="19">
        <v>64.0445482787174</v>
      </c>
      <c r="O60" s="19">
        <v>65.478536792600423</v>
      </c>
      <c r="P60" s="18">
        <v>65.600263347174646</v>
      </c>
      <c r="Q60" s="132"/>
      <c r="R60" s="6"/>
      <c r="S60" s="133"/>
    </row>
    <row r="61" spans="1:19" ht="9" customHeight="1" x14ac:dyDescent="0.15">
      <c r="A61" s="156"/>
      <c r="B61" s="157"/>
      <c r="C61" s="158"/>
      <c r="D61" s="158"/>
      <c r="E61" s="158"/>
      <c r="F61" s="158"/>
      <c r="G61" s="158"/>
      <c r="H61" s="158"/>
      <c r="I61" s="158"/>
      <c r="J61" s="158"/>
      <c r="K61" s="158"/>
      <c r="L61" s="158"/>
      <c r="M61" s="159"/>
      <c r="N61" s="17"/>
      <c r="O61" s="17">
        <v>0</v>
      </c>
      <c r="P61" s="17">
        <v>0</v>
      </c>
      <c r="Q61" s="160"/>
    </row>
    <row r="62" spans="1:19" ht="9" customHeight="1" x14ac:dyDescent="0.15">
      <c r="A62" s="178" t="s">
        <v>110</v>
      </c>
      <c r="B62" s="179"/>
      <c r="C62" s="130">
        <v>32.765986629276931</v>
      </c>
      <c r="D62" s="131">
        <v>39.849636449772397</v>
      </c>
      <c r="E62" s="131">
        <v>47.375245591200063</v>
      </c>
      <c r="F62" s="131">
        <v>52.37322545973602</v>
      </c>
      <c r="G62" s="131">
        <v>57.597641843499318</v>
      </c>
      <c r="H62" s="131">
        <v>62.734600641588123</v>
      </c>
      <c r="I62" s="131">
        <v>69.125875870524425</v>
      </c>
      <c r="J62" s="131">
        <v>74.065937732401579</v>
      </c>
      <c r="K62" s="131">
        <v>77.704867801257848</v>
      </c>
      <c r="L62" s="131">
        <v>80.230248033568174</v>
      </c>
      <c r="M62" s="131">
        <v>81.961345681333114</v>
      </c>
      <c r="N62" s="16">
        <v>81.260718682088125</v>
      </c>
      <c r="O62" s="16">
        <v>80.879437523361602</v>
      </c>
      <c r="P62" s="15">
        <v>80.421791349351238</v>
      </c>
    </row>
    <row r="63" spans="1:19" ht="9" customHeight="1" x14ac:dyDescent="0.15">
      <c r="A63" s="171" t="s">
        <v>111</v>
      </c>
      <c r="B63" s="172"/>
      <c r="C63" s="135">
        <v>9.0798860909608266</v>
      </c>
      <c r="D63" s="136">
        <v>15.25032296883572</v>
      </c>
      <c r="E63" s="136">
        <v>23.337509301942433</v>
      </c>
      <c r="F63" s="136">
        <v>33.36033581265189</v>
      </c>
      <c r="G63" s="136">
        <v>42.938582421107682</v>
      </c>
      <c r="H63" s="136">
        <v>51.346505354783424</v>
      </c>
      <c r="I63" s="136">
        <v>60.102173548170526</v>
      </c>
      <c r="J63" s="136">
        <v>68.175727599527562</v>
      </c>
      <c r="K63" s="136">
        <v>74.264266199029166</v>
      </c>
      <c r="L63" s="136">
        <v>78.427106060951203</v>
      </c>
      <c r="M63" s="136">
        <v>81.522449790055347</v>
      </c>
      <c r="N63" s="14">
        <v>83.061121241981823</v>
      </c>
      <c r="O63" s="14">
        <v>84.487334271741489</v>
      </c>
      <c r="P63" s="13">
        <v>84.889641325311601</v>
      </c>
    </row>
    <row r="64" spans="1:19" ht="9" customHeight="1" x14ac:dyDescent="0.15">
      <c r="A64" s="171" t="s">
        <v>112</v>
      </c>
      <c r="B64" s="172"/>
      <c r="C64" s="135">
        <v>28.027988207635186</v>
      </c>
      <c r="D64" s="136">
        <v>36.756085729924301</v>
      </c>
      <c r="E64" s="136">
        <v>49.730680144726627</v>
      </c>
      <c r="F64" s="136">
        <v>57.834327642216223</v>
      </c>
      <c r="G64" s="136">
        <v>62.433959822443796</v>
      </c>
      <c r="H64" s="136">
        <v>67.271954274488678</v>
      </c>
      <c r="I64" s="136">
        <v>72.171092728314036</v>
      </c>
      <c r="J64" s="136">
        <v>75.506878448978256</v>
      </c>
      <c r="K64" s="136">
        <v>78.398760391792038</v>
      </c>
      <c r="L64" s="136">
        <v>81.462667278956076</v>
      </c>
      <c r="M64" s="136">
        <v>81.585537832421451</v>
      </c>
      <c r="N64" s="14">
        <v>82.343272053477847</v>
      </c>
      <c r="O64" s="14">
        <v>82.334583967088619</v>
      </c>
      <c r="P64" s="13">
        <v>81.197778871046282</v>
      </c>
    </row>
    <row r="65" spans="1:22" ht="9" customHeight="1" x14ac:dyDescent="0.15">
      <c r="A65" s="171" t="s">
        <v>113</v>
      </c>
      <c r="B65" s="172"/>
      <c r="C65" s="135">
        <v>26.747573271690207</v>
      </c>
      <c r="D65" s="136">
        <v>32.600185045100979</v>
      </c>
      <c r="E65" s="136">
        <v>37.271233539434554</v>
      </c>
      <c r="F65" s="136">
        <v>41.659576905999799</v>
      </c>
      <c r="G65" s="136">
        <v>46.421923762409591</v>
      </c>
      <c r="H65" s="136">
        <v>49.725477491689674</v>
      </c>
      <c r="I65" s="136">
        <v>55.78677772171816</v>
      </c>
      <c r="J65" s="136">
        <v>60.785873792041698</v>
      </c>
      <c r="K65" s="136">
        <v>65.679338461728562</v>
      </c>
      <c r="L65" s="136">
        <v>67.489570235677206</v>
      </c>
      <c r="M65" s="136">
        <v>71.971513379851643</v>
      </c>
      <c r="N65" s="14">
        <v>75.302439696625186</v>
      </c>
      <c r="O65" s="14">
        <v>77.256479699855845</v>
      </c>
      <c r="P65" s="13">
        <v>78.431080608969467</v>
      </c>
    </row>
    <row r="66" spans="1:22" ht="9" customHeight="1" x14ac:dyDescent="0.15">
      <c r="A66" s="171" t="s">
        <v>114</v>
      </c>
      <c r="B66" s="172"/>
      <c r="C66" s="135">
        <v>21.055258629030131</v>
      </c>
      <c r="D66" s="136">
        <v>27.659463606365858</v>
      </c>
      <c r="E66" s="136">
        <v>32.896218229731296</v>
      </c>
      <c r="F66" s="136">
        <v>37.387954979805421</v>
      </c>
      <c r="G66" s="136">
        <v>41.402958657900356</v>
      </c>
      <c r="H66" s="136">
        <v>47.07416899318887</v>
      </c>
      <c r="I66" s="136">
        <v>54.743970194838255</v>
      </c>
      <c r="J66" s="136">
        <v>60.872771050446758</v>
      </c>
      <c r="K66" s="136">
        <v>66.546438186853635</v>
      </c>
      <c r="L66" s="136">
        <v>72.712806876591799</v>
      </c>
      <c r="M66" s="136">
        <v>76.870974055649185</v>
      </c>
      <c r="N66" s="14">
        <v>79.126420062674129</v>
      </c>
      <c r="O66" s="14">
        <v>80.774328613011335</v>
      </c>
      <c r="P66" s="13">
        <v>82.467304622638167</v>
      </c>
    </row>
    <row r="67" spans="1:22" ht="9" customHeight="1" x14ac:dyDescent="0.15">
      <c r="A67" s="167" t="s">
        <v>115</v>
      </c>
      <c r="B67" s="168"/>
      <c r="C67" s="135">
        <v>34.646097597929511</v>
      </c>
      <c r="D67" s="136">
        <v>39.355358115632519</v>
      </c>
      <c r="E67" s="136">
        <v>43.699024972941892</v>
      </c>
      <c r="F67" s="136">
        <v>48.705030770203962</v>
      </c>
      <c r="G67" s="136">
        <v>49.680420924395342</v>
      </c>
      <c r="H67" s="136">
        <v>59.19996138188489</v>
      </c>
      <c r="I67" s="136">
        <v>65.607358787598102</v>
      </c>
      <c r="J67" s="136">
        <v>66.611584722756334</v>
      </c>
      <c r="K67" s="136">
        <v>73.744506608737197</v>
      </c>
      <c r="L67" s="136">
        <v>78.390847991055622</v>
      </c>
      <c r="M67" s="136">
        <v>83.346011889668375</v>
      </c>
      <c r="N67" s="14">
        <v>83.981731777638558</v>
      </c>
      <c r="O67" s="14">
        <v>85.970247821927202</v>
      </c>
      <c r="P67" s="13">
        <v>85.411438275260693</v>
      </c>
    </row>
    <row r="68" spans="1:22" ht="9" customHeight="1" x14ac:dyDescent="0.15">
      <c r="A68" s="167" t="s">
        <v>116</v>
      </c>
      <c r="B68" s="168"/>
      <c r="C68" s="135">
        <v>17.701791640820613</v>
      </c>
      <c r="D68" s="136">
        <v>21.096912686290132</v>
      </c>
      <c r="E68" s="136">
        <v>24.656486694710903</v>
      </c>
      <c r="F68" s="136">
        <v>26.328886523171096</v>
      </c>
      <c r="G68" s="136">
        <v>31.007050141661725</v>
      </c>
      <c r="H68" s="136">
        <v>35.144641409838115</v>
      </c>
      <c r="I68" s="136">
        <v>38.044835155811981</v>
      </c>
      <c r="J68" s="136">
        <v>41.0790855953543</v>
      </c>
      <c r="K68" s="136">
        <v>44.027953073981827</v>
      </c>
      <c r="L68" s="136">
        <v>47.71002894414552</v>
      </c>
      <c r="M68" s="136">
        <v>53.428830830644472</v>
      </c>
      <c r="N68" s="14">
        <v>54.242342450740956</v>
      </c>
      <c r="O68" s="14">
        <v>58.385835464501845</v>
      </c>
      <c r="P68" s="13">
        <v>60.722015600656768</v>
      </c>
    </row>
    <row r="69" spans="1:22" ht="9" customHeight="1" x14ac:dyDescent="0.15">
      <c r="A69" s="167" t="s">
        <v>117</v>
      </c>
      <c r="B69" s="168"/>
      <c r="C69" s="135">
        <v>23.379235023201254</v>
      </c>
      <c r="D69" s="136">
        <v>26.269345151158554</v>
      </c>
      <c r="E69" s="136">
        <v>29.276326446861127</v>
      </c>
      <c r="F69" s="136">
        <v>31.88687015887599</v>
      </c>
      <c r="G69" s="136">
        <v>35.856619093978495</v>
      </c>
      <c r="H69" s="136">
        <v>41.339712439005439</v>
      </c>
      <c r="I69" s="136">
        <v>44.709137912201278</v>
      </c>
      <c r="J69" s="136">
        <v>50.905920199193154</v>
      </c>
      <c r="K69" s="136">
        <v>53.243675297879065</v>
      </c>
      <c r="L69" s="136">
        <v>56.18397707110686</v>
      </c>
      <c r="M69" s="136">
        <v>60.819322355935554</v>
      </c>
      <c r="N69" s="14">
        <v>59.896902793186513</v>
      </c>
      <c r="O69" s="14">
        <v>61.912249281512665</v>
      </c>
      <c r="P69" s="13">
        <v>58.17371460293981</v>
      </c>
    </row>
    <row r="70" spans="1:22" ht="9" customHeight="1" x14ac:dyDescent="0.15">
      <c r="A70" s="167" t="s">
        <v>2</v>
      </c>
      <c r="B70" s="168"/>
      <c r="C70" s="135">
        <v>17.280796456919926</v>
      </c>
      <c r="D70" s="136">
        <v>25.078695823721354</v>
      </c>
      <c r="E70" s="136">
        <v>30.14972882781597</v>
      </c>
      <c r="F70" s="136">
        <v>34.603148490629621</v>
      </c>
      <c r="G70" s="136">
        <v>37.233382287210262</v>
      </c>
      <c r="H70" s="136">
        <v>39.598075428873955</v>
      </c>
      <c r="I70" s="136">
        <v>42.618490478368862</v>
      </c>
      <c r="J70" s="136">
        <v>50.101837285088216</v>
      </c>
      <c r="K70" s="136">
        <v>55.007375168445208</v>
      </c>
      <c r="L70" s="136">
        <v>60.015227896796596</v>
      </c>
      <c r="M70" s="136">
        <v>63.962052366870296</v>
      </c>
      <c r="N70" s="14">
        <v>65.00609095416786</v>
      </c>
      <c r="O70" s="14">
        <v>68.000780245458841</v>
      </c>
      <c r="P70" s="13">
        <v>69.408140294962877</v>
      </c>
    </row>
    <row r="71" spans="1:22" ht="9" customHeight="1" x14ac:dyDescent="0.15">
      <c r="A71" s="169" t="s">
        <v>1</v>
      </c>
      <c r="B71" s="170"/>
      <c r="C71" s="161">
        <v>16.483200798052852</v>
      </c>
      <c r="D71" s="162">
        <v>17.250882965556798</v>
      </c>
      <c r="E71" s="162">
        <v>20.790955532334841</v>
      </c>
      <c r="F71" s="162">
        <v>24.590757684611777</v>
      </c>
      <c r="G71" s="162">
        <v>26.753582711414314</v>
      </c>
      <c r="H71" s="162">
        <v>28.630134707210082</v>
      </c>
      <c r="I71" s="162">
        <v>33.550860058110196</v>
      </c>
      <c r="J71" s="162">
        <v>37.687541687091667</v>
      </c>
      <c r="K71" s="162">
        <v>42.83418538493143</v>
      </c>
      <c r="L71" s="162">
        <v>47.171229335586297</v>
      </c>
      <c r="M71" s="162">
        <v>51.785148682591938</v>
      </c>
      <c r="N71" s="12">
        <v>55.555873372281773</v>
      </c>
      <c r="O71" s="12">
        <v>60.581018178939253</v>
      </c>
      <c r="P71" s="11">
        <v>66.228348537446394</v>
      </c>
    </row>
    <row r="72" spans="1:22" ht="9" customHeight="1" x14ac:dyDescent="0.15">
      <c r="A72" s="97" t="s">
        <v>0</v>
      </c>
      <c r="B72" s="98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</row>
    <row r="73" spans="1:22" x14ac:dyDescent="0.15"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</row>
    <row r="74" spans="1:22" s="4" customFormat="1" ht="11.25" customHeight="1" x14ac:dyDescent="0.15">
      <c r="A74" s="99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7"/>
      <c r="R74" s="7"/>
      <c r="S74" s="7"/>
      <c r="T74" s="7"/>
      <c r="U74" s="7"/>
      <c r="V74" s="7"/>
    </row>
    <row r="77" spans="1:22" s="4" customFormat="1" ht="11.25" customHeight="1" x14ac:dyDescent="0.15">
      <c r="A77" s="99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7"/>
      <c r="O77" s="8"/>
      <c r="P77" s="8"/>
      <c r="Q77" s="7"/>
      <c r="R77" s="7"/>
      <c r="S77" s="7"/>
      <c r="T77" s="7"/>
      <c r="U77" s="7"/>
      <c r="V77" s="7"/>
    </row>
  </sheetData>
  <mergeCells count="26">
    <mergeCell ref="A14:A20"/>
    <mergeCell ref="A3:A4"/>
    <mergeCell ref="B3:B4"/>
    <mergeCell ref="C3:P3"/>
    <mergeCell ref="A5:A10"/>
    <mergeCell ref="A11:A13"/>
    <mergeCell ref="A63:B63"/>
    <mergeCell ref="A21:B21"/>
    <mergeCell ref="A27:A31"/>
    <mergeCell ref="A32:A34"/>
    <mergeCell ref="A35:A38"/>
    <mergeCell ref="A39:A42"/>
    <mergeCell ref="A44:A47"/>
    <mergeCell ref="A48:A53"/>
    <mergeCell ref="A54:A57"/>
    <mergeCell ref="A59:B59"/>
    <mergeCell ref="A60:B60"/>
    <mergeCell ref="A62:B62"/>
    <mergeCell ref="A70:B70"/>
    <mergeCell ref="A71:B71"/>
    <mergeCell ref="A64:B64"/>
    <mergeCell ref="A65:B65"/>
    <mergeCell ref="A66:B66"/>
    <mergeCell ref="A67:B67"/>
    <mergeCell ref="A68:B68"/>
    <mergeCell ref="A69:B69"/>
  </mergeCells>
  <phoneticPr fontId="7" type="noConversion"/>
  <printOptions horizontalCentered="1"/>
  <pageMargins left="1.1811023622047245" right="1.1811023622047245" top="1.3779527559055118" bottom="1.3779527559055118" header="0" footer="0.98425196850393704"/>
  <pageSetup paperSize="9" scale="96" firstPageNumber="141" orientation="portrait" useFirstPageNumber="1" horizontalDpi="300" verticalDpi="300" r:id="rId1"/>
  <headerFooter alignWithMargins="0">
    <oddFooter>&amp;C&amp;"가을체,보통"&amp;7&amp;P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D63FA-202F-45E8-9F14-1D95BE3FD035}">
  <sheetPr codeName="Sheet65">
    <pageSetUpPr fitToPage="1"/>
  </sheetPr>
  <dimension ref="A1:V77"/>
  <sheetViews>
    <sheetView showZeros="0" workbookViewId="0">
      <selection activeCell="AB1" sqref="AB1:AF65536"/>
    </sheetView>
  </sheetViews>
  <sheetFormatPr defaultColWidth="5.33203125" defaultRowHeight="9" x14ac:dyDescent="0.15"/>
  <cols>
    <col min="1" max="2" width="8.33203125" style="3" customWidth="1"/>
    <col min="3" max="8" width="9.44140625" style="3" customWidth="1"/>
    <col min="9" max="14" width="7.88671875" style="3" customWidth="1"/>
    <col min="15" max="20" width="4.44140625" style="3" customWidth="1"/>
    <col min="21" max="256" width="5.33203125" style="1"/>
    <col min="257" max="258" width="8.33203125" style="1" customWidth="1"/>
    <col min="259" max="264" width="9.44140625" style="1" customWidth="1"/>
    <col min="265" max="270" width="7.88671875" style="1" customWidth="1"/>
    <col min="271" max="276" width="4.44140625" style="1" customWidth="1"/>
    <col min="277" max="512" width="5.33203125" style="1"/>
    <col min="513" max="514" width="8.33203125" style="1" customWidth="1"/>
    <col min="515" max="520" width="9.44140625" style="1" customWidth="1"/>
    <col min="521" max="526" width="7.88671875" style="1" customWidth="1"/>
    <col min="527" max="532" width="4.44140625" style="1" customWidth="1"/>
    <col min="533" max="768" width="5.33203125" style="1"/>
    <col min="769" max="770" width="8.33203125" style="1" customWidth="1"/>
    <col min="771" max="776" width="9.44140625" style="1" customWidth="1"/>
    <col min="777" max="782" width="7.88671875" style="1" customWidth="1"/>
    <col min="783" max="788" width="4.44140625" style="1" customWidth="1"/>
    <col min="789" max="1024" width="5.33203125" style="1"/>
    <col min="1025" max="1026" width="8.33203125" style="1" customWidth="1"/>
    <col min="1027" max="1032" width="9.44140625" style="1" customWidth="1"/>
    <col min="1033" max="1038" width="7.88671875" style="1" customWidth="1"/>
    <col min="1039" max="1044" width="4.44140625" style="1" customWidth="1"/>
    <col min="1045" max="1280" width="5.33203125" style="1"/>
    <col min="1281" max="1282" width="8.33203125" style="1" customWidth="1"/>
    <col min="1283" max="1288" width="9.44140625" style="1" customWidth="1"/>
    <col min="1289" max="1294" width="7.88671875" style="1" customWidth="1"/>
    <col min="1295" max="1300" width="4.44140625" style="1" customWidth="1"/>
    <col min="1301" max="1536" width="5.33203125" style="1"/>
    <col min="1537" max="1538" width="8.33203125" style="1" customWidth="1"/>
    <col min="1539" max="1544" width="9.44140625" style="1" customWidth="1"/>
    <col min="1545" max="1550" width="7.88671875" style="1" customWidth="1"/>
    <col min="1551" max="1556" width="4.44140625" style="1" customWidth="1"/>
    <col min="1557" max="1792" width="5.33203125" style="1"/>
    <col min="1793" max="1794" width="8.33203125" style="1" customWidth="1"/>
    <col min="1795" max="1800" width="9.44140625" style="1" customWidth="1"/>
    <col min="1801" max="1806" width="7.88671875" style="1" customWidth="1"/>
    <col min="1807" max="1812" width="4.44140625" style="1" customWidth="1"/>
    <col min="1813" max="2048" width="5.33203125" style="1"/>
    <col min="2049" max="2050" width="8.33203125" style="1" customWidth="1"/>
    <col min="2051" max="2056" width="9.44140625" style="1" customWidth="1"/>
    <col min="2057" max="2062" width="7.88671875" style="1" customWidth="1"/>
    <col min="2063" max="2068" width="4.44140625" style="1" customWidth="1"/>
    <col min="2069" max="2304" width="5.33203125" style="1"/>
    <col min="2305" max="2306" width="8.33203125" style="1" customWidth="1"/>
    <col min="2307" max="2312" width="9.44140625" style="1" customWidth="1"/>
    <col min="2313" max="2318" width="7.88671875" style="1" customWidth="1"/>
    <col min="2319" max="2324" width="4.44140625" style="1" customWidth="1"/>
    <col min="2325" max="2560" width="5.33203125" style="1"/>
    <col min="2561" max="2562" width="8.33203125" style="1" customWidth="1"/>
    <col min="2563" max="2568" width="9.44140625" style="1" customWidth="1"/>
    <col min="2569" max="2574" width="7.88671875" style="1" customWidth="1"/>
    <col min="2575" max="2580" width="4.44140625" style="1" customWidth="1"/>
    <col min="2581" max="2816" width="5.33203125" style="1"/>
    <col min="2817" max="2818" width="8.33203125" style="1" customWidth="1"/>
    <col min="2819" max="2824" width="9.44140625" style="1" customWidth="1"/>
    <col min="2825" max="2830" width="7.88671875" style="1" customWidth="1"/>
    <col min="2831" max="2836" width="4.44140625" style="1" customWidth="1"/>
    <col min="2837" max="3072" width="5.33203125" style="1"/>
    <col min="3073" max="3074" width="8.33203125" style="1" customWidth="1"/>
    <col min="3075" max="3080" width="9.44140625" style="1" customWidth="1"/>
    <col min="3081" max="3086" width="7.88671875" style="1" customWidth="1"/>
    <col min="3087" max="3092" width="4.44140625" style="1" customWidth="1"/>
    <col min="3093" max="3328" width="5.33203125" style="1"/>
    <col min="3329" max="3330" width="8.33203125" style="1" customWidth="1"/>
    <col min="3331" max="3336" width="9.44140625" style="1" customWidth="1"/>
    <col min="3337" max="3342" width="7.88671875" style="1" customWidth="1"/>
    <col min="3343" max="3348" width="4.44140625" style="1" customWidth="1"/>
    <col min="3349" max="3584" width="5.33203125" style="1"/>
    <col min="3585" max="3586" width="8.33203125" style="1" customWidth="1"/>
    <col min="3587" max="3592" width="9.44140625" style="1" customWidth="1"/>
    <col min="3593" max="3598" width="7.88671875" style="1" customWidth="1"/>
    <col min="3599" max="3604" width="4.44140625" style="1" customWidth="1"/>
    <col min="3605" max="3840" width="5.33203125" style="1"/>
    <col min="3841" max="3842" width="8.33203125" style="1" customWidth="1"/>
    <col min="3843" max="3848" width="9.44140625" style="1" customWidth="1"/>
    <col min="3849" max="3854" width="7.88671875" style="1" customWidth="1"/>
    <col min="3855" max="3860" width="4.44140625" style="1" customWidth="1"/>
    <col min="3861" max="4096" width="5.33203125" style="1"/>
    <col min="4097" max="4098" width="8.33203125" style="1" customWidth="1"/>
    <col min="4099" max="4104" width="9.44140625" style="1" customWidth="1"/>
    <col min="4105" max="4110" width="7.88671875" style="1" customWidth="1"/>
    <col min="4111" max="4116" width="4.44140625" style="1" customWidth="1"/>
    <col min="4117" max="4352" width="5.33203125" style="1"/>
    <col min="4353" max="4354" width="8.33203125" style="1" customWidth="1"/>
    <col min="4355" max="4360" width="9.44140625" style="1" customWidth="1"/>
    <col min="4361" max="4366" width="7.88671875" style="1" customWidth="1"/>
    <col min="4367" max="4372" width="4.44140625" style="1" customWidth="1"/>
    <col min="4373" max="4608" width="5.33203125" style="1"/>
    <col min="4609" max="4610" width="8.33203125" style="1" customWidth="1"/>
    <col min="4611" max="4616" width="9.44140625" style="1" customWidth="1"/>
    <col min="4617" max="4622" width="7.88671875" style="1" customWidth="1"/>
    <col min="4623" max="4628" width="4.44140625" style="1" customWidth="1"/>
    <col min="4629" max="4864" width="5.33203125" style="1"/>
    <col min="4865" max="4866" width="8.33203125" style="1" customWidth="1"/>
    <col min="4867" max="4872" width="9.44140625" style="1" customWidth="1"/>
    <col min="4873" max="4878" width="7.88671875" style="1" customWidth="1"/>
    <col min="4879" max="4884" width="4.44140625" style="1" customWidth="1"/>
    <col min="4885" max="5120" width="5.33203125" style="1"/>
    <col min="5121" max="5122" width="8.33203125" style="1" customWidth="1"/>
    <col min="5123" max="5128" width="9.44140625" style="1" customWidth="1"/>
    <col min="5129" max="5134" width="7.88671875" style="1" customWidth="1"/>
    <col min="5135" max="5140" width="4.44140625" style="1" customWidth="1"/>
    <col min="5141" max="5376" width="5.33203125" style="1"/>
    <col min="5377" max="5378" width="8.33203125" style="1" customWidth="1"/>
    <col min="5379" max="5384" width="9.44140625" style="1" customWidth="1"/>
    <col min="5385" max="5390" width="7.88671875" style="1" customWidth="1"/>
    <col min="5391" max="5396" width="4.44140625" style="1" customWidth="1"/>
    <col min="5397" max="5632" width="5.33203125" style="1"/>
    <col min="5633" max="5634" width="8.33203125" style="1" customWidth="1"/>
    <col min="5635" max="5640" width="9.44140625" style="1" customWidth="1"/>
    <col min="5641" max="5646" width="7.88671875" style="1" customWidth="1"/>
    <col min="5647" max="5652" width="4.44140625" style="1" customWidth="1"/>
    <col min="5653" max="5888" width="5.33203125" style="1"/>
    <col min="5889" max="5890" width="8.33203125" style="1" customWidth="1"/>
    <col min="5891" max="5896" width="9.44140625" style="1" customWidth="1"/>
    <col min="5897" max="5902" width="7.88671875" style="1" customWidth="1"/>
    <col min="5903" max="5908" width="4.44140625" style="1" customWidth="1"/>
    <col min="5909" max="6144" width="5.33203125" style="1"/>
    <col min="6145" max="6146" width="8.33203125" style="1" customWidth="1"/>
    <col min="6147" max="6152" width="9.44140625" style="1" customWidth="1"/>
    <col min="6153" max="6158" width="7.88671875" style="1" customWidth="1"/>
    <col min="6159" max="6164" width="4.44140625" style="1" customWidth="1"/>
    <col min="6165" max="6400" width="5.33203125" style="1"/>
    <col min="6401" max="6402" width="8.33203125" style="1" customWidth="1"/>
    <col min="6403" max="6408" width="9.44140625" style="1" customWidth="1"/>
    <col min="6409" max="6414" width="7.88671875" style="1" customWidth="1"/>
    <col min="6415" max="6420" width="4.44140625" style="1" customWidth="1"/>
    <col min="6421" max="6656" width="5.33203125" style="1"/>
    <col min="6657" max="6658" width="8.33203125" style="1" customWidth="1"/>
    <col min="6659" max="6664" width="9.44140625" style="1" customWidth="1"/>
    <col min="6665" max="6670" width="7.88671875" style="1" customWidth="1"/>
    <col min="6671" max="6676" width="4.44140625" style="1" customWidth="1"/>
    <col min="6677" max="6912" width="5.33203125" style="1"/>
    <col min="6913" max="6914" width="8.33203125" style="1" customWidth="1"/>
    <col min="6915" max="6920" width="9.44140625" style="1" customWidth="1"/>
    <col min="6921" max="6926" width="7.88671875" style="1" customWidth="1"/>
    <col min="6927" max="6932" width="4.44140625" style="1" customWidth="1"/>
    <col min="6933" max="7168" width="5.33203125" style="1"/>
    <col min="7169" max="7170" width="8.33203125" style="1" customWidth="1"/>
    <col min="7171" max="7176" width="9.44140625" style="1" customWidth="1"/>
    <col min="7177" max="7182" width="7.88671875" style="1" customWidth="1"/>
    <col min="7183" max="7188" width="4.44140625" style="1" customWidth="1"/>
    <col min="7189" max="7424" width="5.33203125" style="1"/>
    <col min="7425" max="7426" width="8.33203125" style="1" customWidth="1"/>
    <col min="7427" max="7432" width="9.44140625" style="1" customWidth="1"/>
    <col min="7433" max="7438" width="7.88671875" style="1" customWidth="1"/>
    <col min="7439" max="7444" width="4.44140625" style="1" customWidth="1"/>
    <col min="7445" max="7680" width="5.33203125" style="1"/>
    <col min="7681" max="7682" width="8.33203125" style="1" customWidth="1"/>
    <col min="7683" max="7688" width="9.44140625" style="1" customWidth="1"/>
    <col min="7689" max="7694" width="7.88671875" style="1" customWidth="1"/>
    <col min="7695" max="7700" width="4.44140625" style="1" customWidth="1"/>
    <col min="7701" max="7936" width="5.33203125" style="1"/>
    <col min="7937" max="7938" width="8.33203125" style="1" customWidth="1"/>
    <col min="7939" max="7944" width="9.44140625" style="1" customWidth="1"/>
    <col min="7945" max="7950" width="7.88671875" style="1" customWidth="1"/>
    <col min="7951" max="7956" width="4.44140625" style="1" customWidth="1"/>
    <col min="7957" max="8192" width="5.33203125" style="1"/>
    <col min="8193" max="8194" width="8.33203125" style="1" customWidth="1"/>
    <col min="8195" max="8200" width="9.44140625" style="1" customWidth="1"/>
    <col min="8201" max="8206" width="7.88671875" style="1" customWidth="1"/>
    <col min="8207" max="8212" width="4.44140625" style="1" customWidth="1"/>
    <col min="8213" max="8448" width="5.33203125" style="1"/>
    <col min="8449" max="8450" width="8.33203125" style="1" customWidth="1"/>
    <col min="8451" max="8456" width="9.44140625" style="1" customWidth="1"/>
    <col min="8457" max="8462" width="7.88671875" style="1" customWidth="1"/>
    <col min="8463" max="8468" width="4.44140625" style="1" customWidth="1"/>
    <col min="8469" max="8704" width="5.33203125" style="1"/>
    <col min="8705" max="8706" width="8.33203125" style="1" customWidth="1"/>
    <col min="8707" max="8712" width="9.44140625" style="1" customWidth="1"/>
    <col min="8713" max="8718" width="7.88671875" style="1" customWidth="1"/>
    <col min="8719" max="8724" width="4.44140625" style="1" customWidth="1"/>
    <col min="8725" max="8960" width="5.33203125" style="1"/>
    <col min="8961" max="8962" width="8.33203125" style="1" customWidth="1"/>
    <col min="8963" max="8968" width="9.44140625" style="1" customWidth="1"/>
    <col min="8969" max="8974" width="7.88671875" style="1" customWidth="1"/>
    <col min="8975" max="8980" width="4.44140625" style="1" customWidth="1"/>
    <col min="8981" max="9216" width="5.33203125" style="1"/>
    <col min="9217" max="9218" width="8.33203125" style="1" customWidth="1"/>
    <col min="9219" max="9224" width="9.44140625" style="1" customWidth="1"/>
    <col min="9225" max="9230" width="7.88671875" style="1" customWidth="1"/>
    <col min="9231" max="9236" width="4.44140625" style="1" customWidth="1"/>
    <col min="9237" max="9472" width="5.33203125" style="1"/>
    <col min="9473" max="9474" width="8.33203125" style="1" customWidth="1"/>
    <col min="9475" max="9480" width="9.44140625" style="1" customWidth="1"/>
    <col min="9481" max="9486" width="7.88671875" style="1" customWidth="1"/>
    <col min="9487" max="9492" width="4.44140625" style="1" customWidth="1"/>
    <col min="9493" max="9728" width="5.33203125" style="1"/>
    <col min="9729" max="9730" width="8.33203125" style="1" customWidth="1"/>
    <col min="9731" max="9736" width="9.44140625" style="1" customWidth="1"/>
    <col min="9737" max="9742" width="7.88671875" style="1" customWidth="1"/>
    <col min="9743" max="9748" width="4.44140625" style="1" customWidth="1"/>
    <col min="9749" max="9984" width="5.33203125" style="1"/>
    <col min="9985" max="9986" width="8.33203125" style="1" customWidth="1"/>
    <col min="9987" max="9992" width="9.44140625" style="1" customWidth="1"/>
    <col min="9993" max="9998" width="7.88671875" style="1" customWidth="1"/>
    <col min="9999" max="10004" width="4.44140625" style="1" customWidth="1"/>
    <col min="10005" max="10240" width="5.33203125" style="1"/>
    <col min="10241" max="10242" width="8.33203125" style="1" customWidth="1"/>
    <col min="10243" max="10248" width="9.44140625" style="1" customWidth="1"/>
    <col min="10249" max="10254" width="7.88671875" style="1" customWidth="1"/>
    <col min="10255" max="10260" width="4.44140625" style="1" customWidth="1"/>
    <col min="10261" max="10496" width="5.33203125" style="1"/>
    <col min="10497" max="10498" width="8.33203125" style="1" customWidth="1"/>
    <col min="10499" max="10504" width="9.44140625" style="1" customWidth="1"/>
    <col min="10505" max="10510" width="7.88671875" style="1" customWidth="1"/>
    <col min="10511" max="10516" width="4.44140625" style="1" customWidth="1"/>
    <col min="10517" max="10752" width="5.33203125" style="1"/>
    <col min="10753" max="10754" width="8.33203125" style="1" customWidth="1"/>
    <col min="10755" max="10760" width="9.44140625" style="1" customWidth="1"/>
    <col min="10761" max="10766" width="7.88671875" style="1" customWidth="1"/>
    <col min="10767" max="10772" width="4.44140625" style="1" customWidth="1"/>
    <col min="10773" max="11008" width="5.33203125" style="1"/>
    <col min="11009" max="11010" width="8.33203125" style="1" customWidth="1"/>
    <col min="11011" max="11016" width="9.44140625" style="1" customWidth="1"/>
    <col min="11017" max="11022" width="7.88671875" style="1" customWidth="1"/>
    <col min="11023" max="11028" width="4.44140625" style="1" customWidth="1"/>
    <col min="11029" max="11264" width="5.33203125" style="1"/>
    <col min="11265" max="11266" width="8.33203125" style="1" customWidth="1"/>
    <col min="11267" max="11272" width="9.44140625" style="1" customWidth="1"/>
    <col min="11273" max="11278" width="7.88671875" style="1" customWidth="1"/>
    <col min="11279" max="11284" width="4.44140625" style="1" customWidth="1"/>
    <col min="11285" max="11520" width="5.33203125" style="1"/>
    <col min="11521" max="11522" width="8.33203125" style="1" customWidth="1"/>
    <col min="11523" max="11528" width="9.44140625" style="1" customWidth="1"/>
    <col min="11529" max="11534" width="7.88671875" style="1" customWidth="1"/>
    <col min="11535" max="11540" width="4.44140625" style="1" customWidth="1"/>
    <col min="11541" max="11776" width="5.33203125" style="1"/>
    <col min="11777" max="11778" width="8.33203125" style="1" customWidth="1"/>
    <col min="11779" max="11784" width="9.44140625" style="1" customWidth="1"/>
    <col min="11785" max="11790" width="7.88671875" style="1" customWidth="1"/>
    <col min="11791" max="11796" width="4.44140625" style="1" customWidth="1"/>
    <col min="11797" max="12032" width="5.33203125" style="1"/>
    <col min="12033" max="12034" width="8.33203125" style="1" customWidth="1"/>
    <col min="12035" max="12040" width="9.44140625" style="1" customWidth="1"/>
    <col min="12041" max="12046" width="7.88671875" style="1" customWidth="1"/>
    <col min="12047" max="12052" width="4.44140625" style="1" customWidth="1"/>
    <col min="12053" max="12288" width="5.33203125" style="1"/>
    <col min="12289" max="12290" width="8.33203125" style="1" customWidth="1"/>
    <col min="12291" max="12296" width="9.44140625" style="1" customWidth="1"/>
    <col min="12297" max="12302" width="7.88671875" style="1" customWidth="1"/>
    <col min="12303" max="12308" width="4.44140625" style="1" customWidth="1"/>
    <col min="12309" max="12544" width="5.33203125" style="1"/>
    <col min="12545" max="12546" width="8.33203125" style="1" customWidth="1"/>
    <col min="12547" max="12552" width="9.44140625" style="1" customWidth="1"/>
    <col min="12553" max="12558" width="7.88671875" style="1" customWidth="1"/>
    <col min="12559" max="12564" width="4.44140625" style="1" customWidth="1"/>
    <col min="12565" max="12800" width="5.33203125" style="1"/>
    <col min="12801" max="12802" width="8.33203125" style="1" customWidth="1"/>
    <col min="12803" max="12808" width="9.44140625" style="1" customWidth="1"/>
    <col min="12809" max="12814" width="7.88671875" style="1" customWidth="1"/>
    <col min="12815" max="12820" width="4.44140625" style="1" customWidth="1"/>
    <col min="12821" max="13056" width="5.33203125" style="1"/>
    <col min="13057" max="13058" width="8.33203125" style="1" customWidth="1"/>
    <col min="13059" max="13064" width="9.44140625" style="1" customWidth="1"/>
    <col min="13065" max="13070" width="7.88671875" style="1" customWidth="1"/>
    <col min="13071" max="13076" width="4.44140625" style="1" customWidth="1"/>
    <col min="13077" max="13312" width="5.33203125" style="1"/>
    <col min="13313" max="13314" width="8.33203125" style="1" customWidth="1"/>
    <col min="13315" max="13320" width="9.44140625" style="1" customWidth="1"/>
    <col min="13321" max="13326" width="7.88671875" style="1" customWidth="1"/>
    <col min="13327" max="13332" width="4.44140625" style="1" customWidth="1"/>
    <col min="13333" max="13568" width="5.33203125" style="1"/>
    <col min="13569" max="13570" width="8.33203125" style="1" customWidth="1"/>
    <col min="13571" max="13576" width="9.44140625" style="1" customWidth="1"/>
    <col min="13577" max="13582" width="7.88671875" style="1" customWidth="1"/>
    <col min="13583" max="13588" width="4.44140625" style="1" customWidth="1"/>
    <col min="13589" max="13824" width="5.33203125" style="1"/>
    <col min="13825" max="13826" width="8.33203125" style="1" customWidth="1"/>
    <col min="13827" max="13832" width="9.44140625" style="1" customWidth="1"/>
    <col min="13833" max="13838" width="7.88671875" style="1" customWidth="1"/>
    <col min="13839" max="13844" width="4.44140625" style="1" customWidth="1"/>
    <col min="13845" max="14080" width="5.33203125" style="1"/>
    <col min="14081" max="14082" width="8.33203125" style="1" customWidth="1"/>
    <col min="14083" max="14088" width="9.44140625" style="1" customWidth="1"/>
    <col min="14089" max="14094" width="7.88671875" style="1" customWidth="1"/>
    <col min="14095" max="14100" width="4.44140625" style="1" customWidth="1"/>
    <col min="14101" max="14336" width="5.33203125" style="1"/>
    <col min="14337" max="14338" width="8.33203125" style="1" customWidth="1"/>
    <col min="14339" max="14344" width="9.44140625" style="1" customWidth="1"/>
    <col min="14345" max="14350" width="7.88671875" style="1" customWidth="1"/>
    <col min="14351" max="14356" width="4.44140625" style="1" customWidth="1"/>
    <col min="14357" max="14592" width="5.33203125" style="1"/>
    <col min="14593" max="14594" width="8.33203125" style="1" customWidth="1"/>
    <col min="14595" max="14600" width="9.44140625" style="1" customWidth="1"/>
    <col min="14601" max="14606" width="7.88671875" style="1" customWidth="1"/>
    <col min="14607" max="14612" width="4.44140625" style="1" customWidth="1"/>
    <col min="14613" max="14848" width="5.33203125" style="1"/>
    <col min="14849" max="14850" width="8.33203125" style="1" customWidth="1"/>
    <col min="14851" max="14856" width="9.44140625" style="1" customWidth="1"/>
    <col min="14857" max="14862" width="7.88671875" style="1" customWidth="1"/>
    <col min="14863" max="14868" width="4.44140625" style="1" customWidth="1"/>
    <col min="14869" max="15104" width="5.33203125" style="1"/>
    <col min="15105" max="15106" width="8.33203125" style="1" customWidth="1"/>
    <col min="15107" max="15112" width="9.44140625" style="1" customWidth="1"/>
    <col min="15113" max="15118" width="7.88671875" style="1" customWidth="1"/>
    <col min="15119" max="15124" width="4.44140625" style="1" customWidth="1"/>
    <col min="15125" max="15360" width="5.33203125" style="1"/>
    <col min="15361" max="15362" width="8.33203125" style="1" customWidth="1"/>
    <col min="15363" max="15368" width="9.44140625" style="1" customWidth="1"/>
    <col min="15369" max="15374" width="7.88671875" style="1" customWidth="1"/>
    <col min="15375" max="15380" width="4.44140625" style="1" customWidth="1"/>
    <col min="15381" max="15616" width="5.33203125" style="1"/>
    <col min="15617" max="15618" width="8.33203125" style="1" customWidth="1"/>
    <col min="15619" max="15624" width="9.44140625" style="1" customWidth="1"/>
    <col min="15625" max="15630" width="7.88671875" style="1" customWidth="1"/>
    <col min="15631" max="15636" width="4.44140625" style="1" customWidth="1"/>
    <col min="15637" max="15872" width="5.33203125" style="1"/>
    <col min="15873" max="15874" width="8.33203125" style="1" customWidth="1"/>
    <col min="15875" max="15880" width="9.44140625" style="1" customWidth="1"/>
    <col min="15881" max="15886" width="7.88671875" style="1" customWidth="1"/>
    <col min="15887" max="15892" width="4.44140625" style="1" customWidth="1"/>
    <col min="15893" max="16128" width="5.33203125" style="1"/>
    <col min="16129" max="16130" width="8.33203125" style="1" customWidth="1"/>
    <col min="16131" max="16136" width="9.44140625" style="1" customWidth="1"/>
    <col min="16137" max="16142" width="7.88671875" style="1" customWidth="1"/>
    <col min="16143" max="16148" width="4.44140625" style="1" customWidth="1"/>
    <col min="16149" max="16384" width="5.33203125" style="1"/>
  </cols>
  <sheetData>
    <row r="1" spans="1:20" ht="15" customHeight="1" x14ac:dyDescent="0.15"/>
    <row r="2" spans="1:20" ht="15" customHeight="1" x14ac:dyDescent="0.15">
      <c r="A2" s="100" t="s">
        <v>70</v>
      </c>
      <c r="B2" s="101"/>
      <c r="C2" s="102"/>
      <c r="D2" s="102"/>
      <c r="E2" s="102"/>
      <c r="F2" s="102"/>
      <c r="G2" s="103"/>
      <c r="H2" s="103"/>
      <c r="I2" s="3" t="s">
        <v>69</v>
      </c>
      <c r="K2" s="3" t="s">
        <v>69</v>
      </c>
      <c r="N2" s="3" t="s">
        <v>69</v>
      </c>
    </row>
    <row r="3" spans="1:20" s="5" customFormat="1" ht="12" customHeight="1" x14ac:dyDescent="0.15">
      <c r="A3" s="204" t="s">
        <v>68</v>
      </c>
      <c r="B3" s="206" t="s">
        <v>67</v>
      </c>
      <c r="C3" s="208" t="s">
        <v>66</v>
      </c>
      <c r="D3" s="209"/>
      <c r="E3" s="209"/>
      <c r="F3" s="209"/>
      <c r="G3" s="209"/>
      <c r="H3" s="210"/>
      <c r="I3" s="211" t="s">
        <v>65</v>
      </c>
      <c r="J3" s="212"/>
      <c r="K3" s="212"/>
      <c r="L3" s="212"/>
      <c r="M3" s="213"/>
      <c r="N3" s="214"/>
      <c r="O3" s="215" t="s">
        <v>64</v>
      </c>
      <c r="P3" s="216"/>
      <c r="Q3" s="216"/>
      <c r="R3" s="216"/>
      <c r="S3" s="217"/>
      <c r="T3" s="218"/>
    </row>
    <row r="4" spans="1:20" s="5" customFormat="1" ht="12" customHeight="1" x14ac:dyDescent="0.15">
      <c r="A4" s="205"/>
      <c r="B4" s="207"/>
      <c r="C4" s="104">
        <v>2006</v>
      </c>
      <c r="D4" s="95">
        <v>2007</v>
      </c>
      <c r="E4" s="95">
        <v>2008</v>
      </c>
      <c r="F4" s="95">
        <v>2009</v>
      </c>
      <c r="G4" s="105">
        <v>2010</v>
      </c>
      <c r="H4" s="106">
        <v>2011</v>
      </c>
      <c r="I4" s="104">
        <v>2006</v>
      </c>
      <c r="J4" s="95">
        <v>2007</v>
      </c>
      <c r="K4" s="95">
        <v>2008</v>
      </c>
      <c r="L4" s="95">
        <v>2009</v>
      </c>
      <c r="M4" s="105">
        <v>2010</v>
      </c>
      <c r="N4" s="106">
        <v>2011</v>
      </c>
      <c r="O4" s="107">
        <v>2006</v>
      </c>
      <c r="P4" s="95">
        <v>2007</v>
      </c>
      <c r="Q4" s="95">
        <v>2008</v>
      </c>
      <c r="R4" s="95">
        <v>2009</v>
      </c>
      <c r="S4" s="105">
        <v>2010</v>
      </c>
      <c r="T4" s="106">
        <v>2011</v>
      </c>
    </row>
    <row r="5" spans="1:20" s="5" customFormat="1" ht="9" customHeight="1" x14ac:dyDescent="0.15">
      <c r="A5" s="198" t="s">
        <v>63</v>
      </c>
      <c r="B5" s="108" t="s">
        <v>60</v>
      </c>
      <c r="C5" s="47">
        <v>692355</v>
      </c>
      <c r="D5" s="46">
        <v>707355</v>
      </c>
      <c r="E5" s="46">
        <v>732222</v>
      </c>
      <c r="F5" s="46">
        <v>749092</v>
      </c>
      <c r="G5" s="39">
        <v>786266</v>
      </c>
      <c r="H5" s="38">
        <v>780662</v>
      </c>
      <c r="I5" s="47">
        <v>616606</v>
      </c>
      <c r="J5" s="46">
        <v>627251</v>
      </c>
      <c r="K5" s="46">
        <v>648191</v>
      </c>
      <c r="L5" s="46">
        <v>666493</v>
      </c>
      <c r="M5" s="39">
        <v>727866</v>
      </c>
      <c r="N5" s="38">
        <v>739391</v>
      </c>
      <c r="O5" s="90">
        <v>89.059225397375613</v>
      </c>
      <c r="P5" s="16">
        <v>88.675558948477075</v>
      </c>
      <c r="Q5" s="16">
        <v>88.523835667324931</v>
      </c>
      <c r="R5" s="16">
        <v>88.973450524101182</v>
      </c>
      <c r="S5" s="36">
        <v>92.572488191019318</v>
      </c>
      <c r="T5" s="13">
        <v>94.713333042981475</v>
      </c>
    </row>
    <row r="6" spans="1:20" s="5" customFormat="1" ht="9" customHeight="1" x14ac:dyDescent="0.15">
      <c r="A6" s="201"/>
      <c r="B6" s="109" t="s">
        <v>59</v>
      </c>
      <c r="C6" s="41">
        <v>885029</v>
      </c>
      <c r="D6" s="40">
        <v>899410</v>
      </c>
      <c r="E6" s="40">
        <v>903281</v>
      </c>
      <c r="F6" s="40">
        <v>901373</v>
      </c>
      <c r="G6" s="39">
        <v>930751</v>
      </c>
      <c r="H6" s="38">
        <v>923181</v>
      </c>
      <c r="I6" s="41">
        <v>787574</v>
      </c>
      <c r="J6" s="40">
        <v>798579</v>
      </c>
      <c r="K6" s="40">
        <v>801908</v>
      </c>
      <c r="L6" s="40">
        <v>807054</v>
      </c>
      <c r="M6" s="39">
        <v>816536</v>
      </c>
      <c r="N6" s="38">
        <v>854253</v>
      </c>
      <c r="O6" s="63">
        <v>88.988496422151144</v>
      </c>
      <c r="P6" s="14">
        <v>88.789206257435424</v>
      </c>
      <c r="Q6" s="14">
        <v>88.777246504686801</v>
      </c>
      <c r="R6" s="14">
        <v>89.536074410926446</v>
      </c>
      <c r="S6" s="36">
        <v>87.728726587454645</v>
      </c>
      <c r="T6" s="13">
        <v>92.533641831883457</v>
      </c>
    </row>
    <row r="7" spans="1:20" s="5" customFormat="1" ht="9" customHeight="1" x14ac:dyDescent="0.15">
      <c r="A7" s="201"/>
      <c r="B7" s="109" t="s">
        <v>58</v>
      </c>
      <c r="C7" s="41">
        <v>1509267</v>
      </c>
      <c r="D7" s="40">
        <v>1536024</v>
      </c>
      <c r="E7" s="40">
        <v>1548040</v>
      </c>
      <c r="F7" s="40">
        <v>1550803</v>
      </c>
      <c r="G7" s="39">
        <v>1555693</v>
      </c>
      <c r="H7" s="38">
        <v>1544466</v>
      </c>
      <c r="I7" s="41">
        <v>1283168</v>
      </c>
      <c r="J7" s="40">
        <v>1293612</v>
      </c>
      <c r="K7" s="40">
        <v>1303643</v>
      </c>
      <c r="L7" s="40">
        <v>1318164</v>
      </c>
      <c r="M7" s="39">
        <v>1394852</v>
      </c>
      <c r="N7" s="38">
        <v>1419224</v>
      </c>
      <c r="O7" s="63">
        <v>85.019284195573093</v>
      </c>
      <c r="P7" s="14">
        <v>84.218215340385299</v>
      </c>
      <c r="Q7" s="14">
        <v>84.212488049404413</v>
      </c>
      <c r="R7" s="14">
        <v>84.998803845491651</v>
      </c>
      <c r="S7" s="36">
        <v>89.661134941148418</v>
      </c>
      <c r="T7" s="13">
        <v>91.890918932498352</v>
      </c>
    </row>
    <row r="8" spans="1:20" s="5" customFormat="1" ht="9" customHeight="1" x14ac:dyDescent="0.15">
      <c r="A8" s="201"/>
      <c r="B8" s="109" t="s">
        <v>28</v>
      </c>
      <c r="C8" s="41">
        <v>334775</v>
      </c>
      <c r="D8" s="40">
        <v>338876</v>
      </c>
      <c r="E8" s="40">
        <v>342254</v>
      </c>
      <c r="F8" s="40">
        <v>343564</v>
      </c>
      <c r="G8" s="39">
        <v>349713</v>
      </c>
      <c r="H8" s="38">
        <v>351452</v>
      </c>
      <c r="I8" s="41">
        <v>303180</v>
      </c>
      <c r="J8" s="40">
        <v>303901</v>
      </c>
      <c r="K8" s="40">
        <v>304782</v>
      </c>
      <c r="L8" s="40">
        <v>307775</v>
      </c>
      <c r="M8" s="39">
        <v>318660</v>
      </c>
      <c r="N8" s="38">
        <v>325905</v>
      </c>
      <c r="O8" s="63">
        <v>90.562317974759168</v>
      </c>
      <c r="P8" s="14">
        <v>89.679115664726922</v>
      </c>
      <c r="Q8" s="14">
        <v>89.05140626552209</v>
      </c>
      <c r="R8" s="14">
        <v>89.583018011200238</v>
      </c>
      <c r="S8" s="36">
        <v>91.12043304080774</v>
      </c>
      <c r="T8" s="13">
        <v>92.731013054414262</v>
      </c>
    </row>
    <row r="9" spans="1:20" s="5" customFormat="1" ht="9" customHeight="1" x14ac:dyDescent="0.15">
      <c r="A9" s="201"/>
      <c r="B9" s="109" t="s">
        <v>57</v>
      </c>
      <c r="C9" s="41">
        <v>569625</v>
      </c>
      <c r="D9" s="40">
        <v>576048</v>
      </c>
      <c r="E9" s="40">
        <v>583036</v>
      </c>
      <c r="F9" s="40">
        <v>583007</v>
      </c>
      <c r="G9" s="39">
        <v>598356</v>
      </c>
      <c r="H9" s="38">
        <v>592991</v>
      </c>
      <c r="I9" s="41">
        <v>497359</v>
      </c>
      <c r="J9" s="40">
        <v>502317</v>
      </c>
      <c r="K9" s="40">
        <v>506711</v>
      </c>
      <c r="L9" s="40">
        <v>512354</v>
      </c>
      <c r="M9" s="39">
        <v>525530</v>
      </c>
      <c r="N9" s="38">
        <v>529384</v>
      </c>
      <c r="O9" s="63">
        <v>87.313407943822682</v>
      </c>
      <c r="P9" s="14">
        <v>87.200545787851013</v>
      </c>
      <c r="Q9" s="14">
        <v>86.909041637223083</v>
      </c>
      <c r="R9" s="14">
        <v>87.881277583288025</v>
      </c>
      <c r="S9" s="36">
        <v>87.828984751552582</v>
      </c>
      <c r="T9" s="13">
        <v>89.273530289667121</v>
      </c>
    </row>
    <row r="10" spans="1:20" s="5" customFormat="1" ht="9" customHeight="1" x14ac:dyDescent="0.15">
      <c r="A10" s="201"/>
      <c r="B10" s="110" t="s">
        <v>4</v>
      </c>
      <c r="C10" s="81">
        <v>3991051</v>
      </c>
      <c r="D10" s="80">
        <v>4057713</v>
      </c>
      <c r="E10" s="80">
        <v>4108833</v>
      </c>
      <c r="F10" s="80">
        <v>4127839</v>
      </c>
      <c r="G10" s="79">
        <v>4220779</v>
      </c>
      <c r="H10" s="78">
        <v>4192752</v>
      </c>
      <c r="I10" s="81">
        <v>3487887</v>
      </c>
      <c r="J10" s="80">
        <v>3525660</v>
      </c>
      <c r="K10" s="80">
        <v>3565235</v>
      </c>
      <c r="L10" s="80">
        <v>3611840</v>
      </c>
      <c r="M10" s="79">
        <v>3783444</v>
      </c>
      <c r="N10" s="78">
        <v>3868157</v>
      </c>
      <c r="O10" s="77">
        <v>87.392694305334601</v>
      </c>
      <c r="P10" s="27">
        <v>86.887860230627439</v>
      </c>
      <c r="Q10" s="27">
        <v>86.770014746279543</v>
      </c>
      <c r="R10" s="27">
        <v>87.49953668251112</v>
      </c>
      <c r="S10" s="76">
        <v>89.638524073399722</v>
      </c>
      <c r="T10" s="26">
        <v>92.258187462554432</v>
      </c>
    </row>
    <row r="11" spans="1:20" s="5" customFormat="1" ht="9" customHeight="1" x14ac:dyDescent="0.15">
      <c r="A11" s="201" t="s">
        <v>62</v>
      </c>
      <c r="B11" s="111" t="s">
        <v>56</v>
      </c>
      <c r="C11" s="75">
        <v>327040</v>
      </c>
      <c r="D11" s="74">
        <v>333440</v>
      </c>
      <c r="E11" s="74">
        <v>346109</v>
      </c>
      <c r="F11" s="74">
        <v>354094</v>
      </c>
      <c r="G11" s="73">
        <v>367567</v>
      </c>
      <c r="H11" s="72">
        <v>374340</v>
      </c>
      <c r="I11" s="75">
        <v>282869</v>
      </c>
      <c r="J11" s="74">
        <v>289062</v>
      </c>
      <c r="K11" s="74">
        <v>302803</v>
      </c>
      <c r="L11" s="74">
        <v>310565</v>
      </c>
      <c r="M11" s="73">
        <v>314971</v>
      </c>
      <c r="N11" s="72">
        <v>331403</v>
      </c>
      <c r="O11" s="71">
        <v>86.493701076320946</v>
      </c>
      <c r="P11" s="25">
        <v>86.690858925143957</v>
      </c>
      <c r="Q11" s="25">
        <v>87.487756747151906</v>
      </c>
      <c r="R11" s="25">
        <v>87.7069365761634</v>
      </c>
      <c r="S11" s="70">
        <v>85.690772022515631</v>
      </c>
      <c r="T11" s="24">
        <v>88.529946038360848</v>
      </c>
    </row>
    <row r="12" spans="1:20" s="5" customFormat="1" ht="9" customHeight="1" x14ac:dyDescent="0.15">
      <c r="A12" s="201"/>
      <c r="B12" s="109" t="s">
        <v>55</v>
      </c>
      <c r="C12" s="41">
        <v>630821</v>
      </c>
      <c r="D12" s="40">
        <v>654365</v>
      </c>
      <c r="E12" s="40">
        <v>660447</v>
      </c>
      <c r="F12" s="40">
        <v>664086</v>
      </c>
      <c r="G12" s="39">
        <v>682874</v>
      </c>
      <c r="H12" s="38">
        <v>693387</v>
      </c>
      <c r="I12" s="41">
        <v>534353</v>
      </c>
      <c r="J12" s="40">
        <v>558498</v>
      </c>
      <c r="K12" s="40">
        <v>570466</v>
      </c>
      <c r="L12" s="40">
        <v>585681</v>
      </c>
      <c r="M12" s="39">
        <v>618799</v>
      </c>
      <c r="N12" s="38">
        <v>645635</v>
      </c>
      <c r="O12" s="63">
        <v>84.707547782968533</v>
      </c>
      <c r="P12" s="14">
        <v>85.349613747679044</v>
      </c>
      <c r="Q12" s="14">
        <v>86.375742489556316</v>
      </c>
      <c r="R12" s="14">
        <v>88.193547221293628</v>
      </c>
      <c r="S12" s="36">
        <v>90.616863433078436</v>
      </c>
      <c r="T12" s="13">
        <v>93.113225370536227</v>
      </c>
    </row>
    <row r="13" spans="1:20" s="5" customFormat="1" ht="9" customHeight="1" x14ac:dyDescent="0.15">
      <c r="A13" s="201"/>
      <c r="B13" s="110" t="s">
        <v>4</v>
      </c>
      <c r="C13" s="81">
        <v>957861</v>
      </c>
      <c r="D13" s="80">
        <v>987805</v>
      </c>
      <c r="E13" s="80">
        <v>1006556</v>
      </c>
      <c r="F13" s="80">
        <v>1018180</v>
      </c>
      <c r="G13" s="79">
        <v>1050441</v>
      </c>
      <c r="H13" s="78">
        <v>1067727</v>
      </c>
      <c r="I13" s="81">
        <v>817222</v>
      </c>
      <c r="J13" s="80">
        <v>847560</v>
      </c>
      <c r="K13" s="80">
        <v>873269</v>
      </c>
      <c r="L13" s="80">
        <v>896246</v>
      </c>
      <c r="M13" s="79">
        <v>933770</v>
      </c>
      <c r="N13" s="78">
        <v>977038</v>
      </c>
      <c r="O13" s="77">
        <v>85.317389475090849</v>
      </c>
      <c r="P13" s="27">
        <v>85.802359777486444</v>
      </c>
      <c r="Q13" s="27">
        <v>86.758113805888598</v>
      </c>
      <c r="R13" s="27">
        <v>88.024317900567681</v>
      </c>
      <c r="S13" s="76">
        <v>88.893141071226282</v>
      </c>
      <c r="T13" s="26">
        <v>91.506349469480497</v>
      </c>
    </row>
    <row r="14" spans="1:20" s="5" customFormat="1" ht="9" customHeight="1" x14ac:dyDescent="0.15">
      <c r="A14" s="196" t="s">
        <v>61</v>
      </c>
      <c r="B14" s="111" t="s">
        <v>60</v>
      </c>
      <c r="C14" s="75">
        <v>642237</v>
      </c>
      <c r="D14" s="74">
        <v>647025</v>
      </c>
      <c r="E14" s="74">
        <v>654210</v>
      </c>
      <c r="F14" s="74">
        <v>669153</v>
      </c>
      <c r="G14" s="73">
        <v>700421</v>
      </c>
      <c r="H14" s="72">
        <v>699834</v>
      </c>
      <c r="I14" s="75">
        <v>450494</v>
      </c>
      <c r="J14" s="74">
        <v>459879</v>
      </c>
      <c r="K14" s="74">
        <v>472654</v>
      </c>
      <c r="L14" s="74">
        <v>496596</v>
      </c>
      <c r="M14" s="73">
        <v>560432</v>
      </c>
      <c r="N14" s="72">
        <v>572448</v>
      </c>
      <c r="O14" s="71">
        <v>70.144510515588493</v>
      </c>
      <c r="P14" s="25">
        <v>71.075924423322121</v>
      </c>
      <c r="Q14" s="25">
        <v>72.248054905917058</v>
      </c>
      <c r="R14" s="25">
        <v>74.212624018722167</v>
      </c>
      <c r="S14" s="70">
        <v>80.013591825487822</v>
      </c>
      <c r="T14" s="24">
        <v>81.797683450646858</v>
      </c>
    </row>
    <row r="15" spans="1:20" s="5" customFormat="1" ht="9" customHeight="1" x14ac:dyDescent="0.15">
      <c r="A15" s="197"/>
      <c r="B15" s="109" t="s">
        <v>59</v>
      </c>
      <c r="C15" s="41">
        <v>258857</v>
      </c>
      <c r="D15" s="40">
        <v>327528</v>
      </c>
      <c r="E15" s="40">
        <v>329692</v>
      </c>
      <c r="F15" s="40">
        <v>347013</v>
      </c>
      <c r="G15" s="39">
        <v>368278</v>
      </c>
      <c r="H15" s="38">
        <v>367168</v>
      </c>
      <c r="I15" s="41">
        <v>180477</v>
      </c>
      <c r="J15" s="40">
        <v>190597</v>
      </c>
      <c r="K15" s="40">
        <v>197754</v>
      </c>
      <c r="L15" s="40">
        <v>208178</v>
      </c>
      <c r="M15" s="39">
        <v>225006</v>
      </c>
      <c r="N15" s="38">
        <v>238005</v>
      </c>
      <c r="O15" s="63">
        <v>69.720733841464593</v>
      </c>
      <c r="P15" s="14">
        <v>58.192582008255776</v>
      </c>
      <c r="Q15" s="14">
        <v>59.981437220193392</v>
      </c>
      <c r="R15" s="14">
        <v>59.99141242547109</v>
      </c>
      <c r="S15" s="36">
        <v>61.096780149778155</v>
      </c>
      <c r="T15" s="13">
        <v>64.821825431410147</v>
      </c>
    </row>
    <row r="16" spans="1:20" s="5" customFormat="1" ht="9" customHeight="1" x14ac:dyDescent="0.15">
      <c r="A16" s="197"/>
      <c r="B16" s="109" t="s">
        <v>58</v>
      </c>
      <c r="C16" s="41">
        <v>529532</v>
      </c>
      <c r="D16" s="40">
        <v>543378</v>
      </c>
      <c r="E16" s="40">
        <v>560651</v>
      </c>
      <c r="F16" s="40">
        <v>569082</v>
      </c>
      <c r="G16" s="39">
        <v>586975</v>
      </c>
      <c r="H16" s="38">
        <v>606392</v>
      </c>
      <c r="I16" s="41">
        <v>346084</v>
      </c>
      <c r="J16" s="40">
        <v>358666</v>
      </c>
      <c r="K16" s="40">
        <v>373818</v>
      </c>
      <c r="L16" s="40">
        <v>387485</v>
      </c>
      <c r="M16" s="39">
        <v>440031</v>
      </c>
      <c r="N16" s="38">
        <v>471878</v>
      </c>
      <c r="O16" s="63">
        <v>65.356579016943257</v>
      </c>
      <c r="P16" s="14">
        <v>66.006720919875292</v>
      </c>
      <c r="Q16" s="14">
        <v>66.675703780069952</v>
      </c>
      <c r="R16" s="14">
        <v>68.089484467967708</v>
      </c>
      <c r="S16" s="36">
        <v>74.965884407342728</v>
      </c>
      <c r="T16" s="13">
        <v>77.817319489703024</v>
      </c>
    </row>
    <row r="17" spans="1:20" s="5" customFormat="1" ht="9" customHeight="1" x14ac:dyDescent="0.15">
      <c r="A17" s="197"/>
      <c r="B17" s="109" t="s">
        <v>57</v>
      </c>
      <c r="C17" s="41">
        <v>309356</v>
      </c>
      <c r="D17" s="40">
        <v>323670</v>
      </c>
      <c r="E17" s="40">
        <v>333853</v>
      </c>
      <c r="F17" s="40">
        <v>337008</v>
      </c>
      <c r="G17" s="39">
        <v>350511</v>
      </c>
      <c r="H17" s="38">
        <v>359033</v>
      </c>
      <c r="I17" s="41">
        <v>193569</v>
      </c>
      <c r="J17" s="40">
        <v>207039</v>
      </c>
      <c r="K17" s="40">
        <v>224176</v>
      </c>
      <c r="L17" s="40">
        <v>235881</v>
      </c>
      <c r="M17" s="39">
        <v>249937</v>
      </c>
      <c r="N17" s="38">
        <v>256908</v>
      </c>
      <c r="O17" s="63">
        <v>62.571600356870405</v>
      </c>
      <c r="P17" s="14">
        <v>63.966076559458706</v>
      </c>
      <c r="Q17" s="14">
        <v>67.148116087020341</v>
      </c>
      <c r="R17" s="14">
        <v>69.992700470018519</v>
      </c>
      <c r="S17" s="36">
        <v>71.306463991144355</v>
      </c>
      <c r="T17" s="13">
        <v>71.5555394629463</v>
      </c>
    </row>
    <row r="18" spans="1:20" s="5" customFormat="1" ht="9" customHeight="1" x14ac:dyDescent="0.15">
      <c r="A18" s="197"/>
      <c r="B18" s="109" t="s">
        <v>56</v>
      </c>
      <c r="C18" s="41">
        <v>2270932</v>
      </c>
      <c r="D18" s="40">
        <v>2338684</v>
      </c>
      <c r="E18" s="40">
        <v>2394441</v>
      </c>
      <c r="F18" s="40">
        <v>2433159</v>
      </c>
      <c r="G18" s="39">
        <v>2516493</v>
      </c>
      <c r="H18" s="38">
        <v>2536080</v>
      </c>
      <c r="I18" s="41">
        <v>1853152</v>
      </c>
      <c r="J18" s="40">
        <v>1925963</v>
      </c>
      <c r="K18" s="40">
        <v>2003912</v>
      </c>
      <c r="L18" s="40">
        <v>2055853</v>
      </c>
      <c r="M18" s="39">
        <v>2108904</v>
      </c>
      <c r="N18" s="38">
        <v>2174805</v>
      </c>
      <c r="O18" s="63">
        <v>81.603147958635475</v>
      </c>
      <c r="P18" s="14">
        <v>82.352425552148134</v>
      </c>
      <c r="Q18" s="14">
        <v>83.690180714413088</v>
      </c>
      <c r="R18" s="14">
        <v>84.49316300332201</v>
      </c>
      <c r="S18" s="36">
        <v>83.803292915974737</v>
      </c>
      <c r="T18" s="13">
        <v>85.754589760575371</v>
      </c>
    </row>
    <row r="19" spans="1:20" s="5" customFormat="1" ht="9" customHeight="1" x14ac:dyDescent="0.15">
      <c r="A19" s="197"/>
      <c r="B19" s="109" t="s">
        <v>55</v>
      </c>
      <c r="C19" s="41">
        <v>9369</v>
      </c>
      <c r="D19" s="40">
        <v>9513</v>
      </c>
      <c r="E19" s="40">
        <v>9781</v>
      </c>
      <c r="F19" s="40">
        <v>10024</v>
      </c>
      <c r="G19" s="39">
        <v>10379</v>
      </c>
      <c r="H19" s="38">
        <v>10898</v>
      </c>
      <c r="I19" s="41">
        <v>108</v>
      </c>
      <c r="J19" s="40">
        <v>296</v>
      </c>
      <c r="K19" s="40">
        <v>800</v>
      </c>
      <c r="L19" s="40">
        <v>1209</v>
      </c>
      <c r="M19" s="39">
        <v>2641</v>
      </c>
      <c r="N19" s="38">
        <v>3160</v>
      </c>
      <c r="O19" s="63">
        <v>1.1527377521613833</v>
      </c>
      <c r="P19" s="14">
        <v>3.1115315883527805</v>
      </c>
      <c r="Q19" s="14">
        <v>8.1791227890808713</v>
      </c>
      <c r="R19" s="14">
        <v>12.061053471667996</v>
      </c>
      <c r="S19" s="36">
        <v>25.445611330571342</v>
      </c>
      <c r="T19" s="13">
        <v>28.996146081849883</v>
      </c>
    </row>
    <row r="20" spans="1:20" s="5" customFormat="1" ht="9" customHeight="1" x14ac:dyDescent="0.15">
      <c r="A20" s="197"/>
      <c r="B20" s="109" t="s">
        <v>4</v>
      </c>
      <c r="C20" s="41">
        <v>4020283</v>
      </c>
      <c r="D20" s="40">
        <v>4189798</v>
      </c>
      <c r="E20" s="40">
        <v>4282628</v>
      </c>
      <c r="F20" s="40">
        <v>4365439</v>
      </c>
      <c r="G20" s="39">
        <v>4533057</v>
      </c>
      <c r="H20" s="38">
        <v>4579405</v>
      </c>
      <c r="I20" s="41">
        <v>3023884</v>
      </c>
      <c r="J20" s="40">
        <v>3142440</v>
      </c>
      <c r="K20" s="40">
        <v>3273114</v>
      </c>
      <c r="L20" s="40">
        <v>3385202</v>
      </c>
      <c r="M20" s="39">
        <v>3586951</v>
      </c>
      <c r="N20" s="38">
        <v>3717204</v>
      </c>
      <c r="O20" s="63">
        <v>75.215699989279358</v>
      </c>
      <c r="P20" s="14">
        <v>75.002183876167777</v>
      </c>
      <c r="Q20" s="14">
        <v>76.427698133015525</v>
      </c>
      <c r="R20" s="14">
        <v>77.545511459443134</v>
      </c>
      <c r="S20" s="36">
        <v>79.128742479964416</v>
      </c>
      <c r="T20" s="13">
        <v>81.172204685979949</v>
      </c>
    </row>
    <row r="21" spans="1:20" s="5" customFormat="1" ht="9" customHeight="1" x14ac:dyDescent="0.15">
      <c r="A21" s="202" t="s">
        <v>54</v>
      </c>
      <c r="B21" s="203"/>
      <c r="C21" s="56">
        <v>8969195</v>
      </c>
      <c r="D21" s="55">
        <v>9235316</v>
      </c>
      <c r="E21" s="55">
        <v>9398017</v>
      </c>
      <c r="F21" s="55">
        <v>9511458</v>
      </c>
      <c r="G21" s="54">
        <v>9804277</v>
      </c>
      <c r="H21" s="53">
        <v>9839884</v>
      </c>
      <c r="I21" s="56">
        <v>7328993</v>
      </c>
      <c r="J21" s="55">
        <v>7515660</v>
      </c>
      <c r="K21" s="55">
        <v>7711618</v>
      </c>
      <c r="L21" s="55">
        <v>7893288</v>
      </c>
      <c r="M21" s="54">
        <v>8304165</v>
      </c>
      <c r="N21" s="53">
        <v>8562399</v>
      </c>
      <c r="O21" s="52">
        <v>81.712940793460291</v>
      </c>
      <c r="P21" s="19">
        <v>81.379565138864763</v>
      </c>
      <c r="Q21" s="19">
        <v>82.05579964369079</v>
      </c>
      <c r="R21" s="19">
        <v>82.987150865829406</v>
      </c>
      <c r="S21" s="51">
        <v>84.699412307506208</v>
      </c>
      <c r="T21" s="18">
        <v>87.017275813414059</v>
      </c>
    </row>
    <row r="22" spans="1:20" s="5" customFormat="1" ht="9" customHeight="1" x14ac:dyDescent="0.15">
      <c r="A22" s="112" t="s">
        <v>53</v>
      </c>
      <c r="B22" s="110" t="s">
        <v>27</v>
      </c>
      <c r="C22" s="81">
        <v>1288671</v>
      </c>
      <c r="D22" s="80">
        <v>1300692</v>
      </c>
      <c r="E22" s="80">
        <v>1311724</v>
      </c>
      <c r="F22" s="80">
        <v>1323771</v>
      </c>
      <c r="G22" s="79">
        <v>1371346</v>
      </c>
      <c r="H22" s="78">
        <v>1381257</v>
      </c>
      <c r="I22" s="81">
        <v>729028</v>
      </c>
      <c r="J22" s="80">
        <v>796528</v>
      </c>
      <c r="K22" s="80">
        <v>860283</v>
      </c>
      <c r="L22" s="80">
        <v>908760</v>
      </c>
      <c r="M22" s="79">
        <v>952242</v>
      </c>
      <c r="N22" s="78">
        <v>1002185</v>
      </c>
      <c r="O22" s="77">
        <v>56.572080849184935</v>
      </c>
      <c r="P22" s="27">
        <v>61.238786738136319</v>
      </c>
      <c r="Q22" s="27">
        <v>65.584147274884046</v>
      </c>
      <c r="R22" s="27">
        <v>68.649335874558361</v>
      </c>
      <c r="S22" s="76">
        <v>69.438493275949327</v>
      </c>
      <c r="T22" s="26">
        <v>72.556012385819585</v>
      </c>
    </row>
    <row r="23" spans="1:20" s="5" customFormat="1" ht="9" customHeight="1" x14ac:dyDescent="0.15">
      <c r="A23" s="113" t="s">
        <v>52</v>
      </c>
      <c r="B23" s="114" t="s">
        <v>42</v>
      </c>
      <c r="C23" s="89">
        <v>875173</v>
      </c>
      <c r="D23" s="88">
        <v>883920</v>
      </c>
      <c r="E23" s="88">
        <v>894969</v>
      </c>
      <c r="F23" s="88">
        <v>906470</v>
      </c>
      <c r="G23" s="87">
        <v>934598</v>
      </c>
      <c r="H23" s="86">
        <v>940770</v>
      </c>
      <c r="I23" s="89">
        <v>554759</v>
      </c>
      <c r="J23" s="88">
        <v>582370</v>
      </c>
      <c r="K23" s="88">
        <v>627393</v>
      </c>
      <c r="L23" s="88">
        <v>662669</v>
      </c>
      <c r="M23" s="87">
        <v>700480</v>
      </c>
      <c r="N23" s="86">
        <v>732222</v>
      </c>
      <c r="O23" s="85">
        <v>63.388495760266828</v>
      </c>
      <c r="P23" s="29">
        <v>65.884921712372162</v>
      </c>
      <c r="Q23" s="29">
        <v>70.10220465736802</v>
      </c>
      <c r="R23" s="29">
        <v>73.104349840590416</v>
      </c>
      <c r="S23" s="84">
        <v>74.949871495552102</v>
      </c>
      <c r="T23" s="28">
        <v>77.832201281928633</v>
      </c>
    </row>
    <row r="24" spans="1:20" s="5" customFormat="1" ht="9" customHeight="1" x14ac:dyDescent="0.15">
      <c r="A24" s="113" t="s">
        <v>51</v>
      </c>
      <c r="B24" s="114" t="s">
        <v>14</v>
      </c>
      <c r="C24" s="89">
        <v>495065</v>
      </c>
      <c r="D24" s="88">
        <v>503844</v>
      </c>
      <c r="E24" s="88">
        <v>513021</v>
      </c>
      <c r="F24" s="88">
        <v>524093</v>
      </c>
      <c r="G24" s="87">
        <v>540875</v>
      </c>
      <c r="H24" s="86">
        <v>549105</v>
      </c>
      <c r="I24" s="89">
        <v>343727</v>
      </c>
      <c r="J24" s="88">
        <v>370025</v>
      </c>
      <c r="K24" s="88">
        <v>413537</v>
      </c>
      <c r="L24" s="88">
        <v>444585</v>
      </c>
      <c r="M24" s="87">
        <v>473603</v>
      </c>
      <c r="N24" s="86">
        <v>500511</v>
      </c>
      <c r="O24" s="85">
        <v>69.430680819690352</v>
      </c>
      <c r="P24" s="29">
        <v>73.440390279530959</v>
      </c>
      <c r="Q24" s="29">
        <v>80.608201223731584</v>
      </c>
      <c r="R24" s="29">
        <v>84.829410047453408</v>
      </c>
      <c r="S24" s="84">
        <v>87.562375779986141</v>
      </c>
      <c r="T24" s="28">
        <v>91.150326440298301</v>
      </c>
    </row>
    <row r="25" spans="1:20" s="5" customFormat="1" ht="9" customHeight="1" x14ac:dyDescent="0.15">
      <c r="A25" s="113" t="s">
        <v>50</v>
      </c>
      <c r="B25" s="114" t="s">
        <v>20</v>
      </c>
      <c r="C25" s="89">
        <v>518039</v>
      </c>
      <c r="D25" s="88">
        <v>525880</v>
      </c>
      <c r="E25" s="88">
        <v>531682</v>
      </c>
      <c r="F25" s="88">
        <v>538100</v>
      </c>
      <c r="G25" s="87">
        <v>555768</v>
      </c>
      <c r="H25" s="86">
        <v>566324</v>
      </c>
      <c r="I25" s="89">
        <v>395747</v>
      </c>
      <c r="J25" s="88">
        <v>419601</v>
      </c>
      <c r="K25" s="88">
        <v>443176</v>
      </c>
      <c r="L25" s="88">
        <v>462052</v>
      </c>
      <c r="M25" s="87">
        <v>485153</v>
      </c>
      <c r="N25" s="86">
        <v>513784</v>
      </c>
      <c r="O25" s="85">
        <v>76.393283131192817</v>
      </c>
      <c r="P25" s="29">
        <v>79.790256332243089</v>
      </c>
      <c r="Q25" s="29">
        <v>83.353583533014103</v>
      </c>
      <c r="R25" s="29">
        <v>85.867310908753026</v>
      </c>
      <c r="S25" s="84">
        <v>87.294158713707887</v>
      </c>
      <c r="T25" s="28">
        <v>90.722625211009955</v>
      </c>
    </row>
    <row r="26" spans="1:20" s="5" customFormat="1" ht="9" customHeight="1" x14ac:dyDescent="0.15">
      <c r="A26" s="113" t="s">
        <v>49</v>
      </c>
      <c r="B26" s="114" t="s">
        <v>6</v>
      </c>
      <c r="C26" s="89">
        <v>373114</v>
      </c>
      <c r="D26" s="88">
        <v>380865</v>
      </c>
      <c r="E26" s="88">
        <v>389735</v>
      </c>
      <c r="F26" s="88">
        <v>394364</v>
      </c>
      <c r="G26" s="87">
        <v>405501</v>
      </c>
      <c r="H26" s="86">
        <v>412561</v>
      </c>
      <c r="I26" s="89">
        <v>257787</v>
      </c>
      <c r="J26" s="88">
        <v>267774</v>
      </c>
      <c r="K26" s="88">
        <v>294891</v>
      </c>
      <c r="L26" s="88">
        <v>311576</v>
      </c>
      <c r="M26" s="87">
        <v>327901</v>
      </c>
      <c r="N26" s="86">
        <v>345653</v>
      </c>
      <c r="O26" s="85">
        <v>69.090680060249682</v>
      </c>
      <c r="P26" s="29">
        <v>70.306801622622189</v>
      </c>
      <c r="Q26" s="29">
        <v>75.664489973956663</v>
      </c>
      <c r="R26" s="29">
        <v>79.007211611607559</v>
      </c>
      <c r="S26" s="84">
        <v>80.86317912902804</v>
      </c>
      <c r="T26" s="28">
        <v>83.782277045091519</v>
      </c>
    </row>
    <row r="27" spans="1:20" s="5" customFormat="1" ht="9" customHeight="1" x14ac:dyDescent="0.15">
      <c r="A27" s="196" t="s">
        <v>48</v>
      </c>
      <c r="B27" s="111" t="s">
        <v>26</v>
      </c>
      <c r="C27" s="75">
        <v>96802</v>
      </c>
      <c r="D27" s="74">
        <v>98900</v>
      </c>
      <c r="E27" s="74">
        <v>130244</v>
      </c>
      <c r="F27" s="74">
        <v>132729</v>
      </c>
      <c r="G27" s="73">
        <v>137420</v>
      </c>
      <c r="H27" s="72">
        <v>139723</v>
      </c>
      <c r="I27" s="75">
        <v>65198</v>
      </c>
      <c r="J27" s="74">
        <v>69433</v>
      </c>
      <c r="K27" s="74">
        <v>75687</v>
      </c>
      <c r="L27" s="74">
        <v>87467</v>
      </c>
      <c r="M27" s="73">
        <v>93240</v>
      </c>
      <c r="N27" s="72">
        <v>96038</v>
      </c>
      <c r="O27" s="71">
        <v>67.35191421664841</v>
      </c>
      <c r="P27" s="25">
        <v>70.205257836198172</v>
      </c>
      <c r="Q27" s="25">
        <v>58.111698043671879</v>
      </c>
      <c r="R27" s="25">
        <v>65.898936931642666</v>
      </c>
      <c r="S27" s="70">
        <v>67.850385678940469</v>
      </c>
      <c r="T27" s="24">
        <v>68.734567680338955</v>
      </c>
    </row>
    <row r="28" spans="1:20" s="5" customFormat="1" ht="9" customHeight="1" x14ac:dyDescent="0.15">
      <c r="A28" s="197"/>
      <c r="B28" s="109" t="s">
        <v>25</v>
      </c>
      <c r="C28" s="41">
        <v>126906</v>
      </c>
      <c r="D28" s="40">
        <v>130994</v>
      </c>
      <c r="E28" s="40">
        <v>134456</v>
      </c>
      <c r="F28" s="40">
        <v>137797</v>
      </c>
      <c r="G28" s="39">
        <v>142943</v>
      </c>
      <c r="H28" s="38">
        <v>147596</v>
      </c>
      <c r="I28" s="41">
        <v>64862</v>
      </c>
      <c r="J28" s="40">
        <v>69572</v>
      </c>
      <c r="K28" s="40">
        <v>75850</v>
      </c>
      <c r="L28" s="40">
        <v>81339</v>
      </c>
      <c r="M28" s="39">
        <v>86347</v>
      </c>
      <c r="N28" s="38">
        <v>91026</v>
      </c>
      <c r="O28" s="63">
        <v>51.110270593982946</v>
      </c>
      <c r="P28" s="14">
        <v>53.110829503641391</v>
      </c>
      <c r="Q28" s="14">
        <v>56.41250669363955</v>
      </c>
      <c r="R28" s="14">
        <v>59.028135590760321</v>
      </c>
      <c r="S28" s="36">
        <v>60.40659563602275</v>
      </c>
      <c r="T28" s="13">
        <v>61.672403046153015</v>
      </c>
    </row>
    <row r="29" spans="1:20" s="5" customFormat="1" ht="9" customHeight="1" x14ac:dyDescent="0.15">
      <c r="A29" s="197"/>
      <c r="B29" s="109" t="s">
        <v>24</v>
      </c>
      <c r="C29" s="41">
        <v>150498</v>
      </c>
      <c r="D29" s="40">
        <v>152249</v>
      </c>
      <c r="E29" s="40">
        <v>154187</v>
      </c>
      <c r="F29" s="40">
        <v>156922</v>
      </c>
      <c r="G29" s="39">
        <v>161398</v>
      </c>
      <c r="H29" s="38">
        <v>161983</v>
      </c>
      <c r="I29" s="41">
        <v>17793</v>
      </c>
      <c r="J29" s="40">
        <v>19386</v>
      </c>
      <c r="K29" s="40">
        <v>20516</v>
      </c>
      <c r="L29" s="40">
        <v>21974</v>
      </c>
      <c r="M29" s="39">
        <v>25184</v>
      </c>
      <c r="N29" s="38">
        <v>27255</v>
      </c>
      <c r="O29" s="63">
        <v>11.822748475062792</v>
      </c>
      <c r="P29" s="14">
        <v>12.73308855887395</v>
      </c>
      <c r="Q29" s="14">
        <v>13.305920732616888</v>
      </c>
      <c r="R29" s="14">
        <v>14.003135315634518</v>
      </c>
      <c r="S29" s="36">
        <v>15.603662994584816</v>
      </c>
      <c r="T29" s="13">
        <v>16.825839748615596</v>
      </c>
    </row>
    <row r="30" spans="1:20" s="5" customFormat="1" ht="9" customHeight="1" x14ac:dyDescent="0.15">
      <c r="A30" s="197"/>
      <c r="B30" s="109" t="s">
        <v>23</v>
      </c>
      <c r="C30" s="41">
        <v>59618</v>
      </c>
      <c r="D30" s="40">
        <v>60170</v>
      </c>
      <c r="E30" s="40">
        <v>60978</v>
      </c>
      <c r="F30" s="40">
        <v>61743</v>
      </c>
      <c r="G30" s="39">
        <v>63220</v>
      </c>
      <c r="H30" s="38">
        <v>63254</v>
      </c>
      <c r="I30" s="41">
        <v>13339</v>
      </c>
      <c r="J30" s="40">
        <v>14927</v>
      </c>
      <c r="K30" s="40">
        <v>15829</v>
      </c>
      <c r="L30" s="40">
        <v>17232</v>
      </c>
      <c r="M30" s="39">
        <v>18268</v>
      </c>
      <c r="N30" s="38">
        <v>18866</v>
      </c>
      <c r="O30" s="63">
        <v>22.374115200107351</v>
      </c>
      <c r="P30" s="14">
        <v>24.808043875685556</v>
      </c>
      <c r="Q30" s="14">
        <v>25.958542425136933</v>
      </c>
      <c r="R30" s="14">
        <v>27.909236674602788</v>
      </c>
      <c r="S30" s="36">
        <v>28.895919012970577</v>
      </c>
      <c r="T30" s="13">
        <v>29.825781768741898</v>
      </c>
    </row>
    <row r="31" spans="1:20" s="5" customFormat="1" ht="9" customHeight="1" x14ac:dyDescent="0.15">
      <c r="A31" s="198"/>
      <c r="B31" s="110" t="s">
        <v>4</v>
      </c>
      <c r="C31" s="81">
        <v>433824</v>
      </c>
      <c r="D31" s="80">
        <v>442313</v>
      </c>
      <c r="E31" s="80">
        <v>479865</v>
      </c>
      <c r="F31" s="80">
        <v>489191</v>
      </c>
      <c r="G31" s="79">
        <v>504981</v>
      </c>
      <c r="H31" s="78">
        <v>512556</v>
      </c>
      <c r="I31" s="81">
        <v>161192</v>
      </c>
      <c r="J31" s="80">
        <v>173318</v>
      </c>
      <c r="K31" s="80">
        <v>187882</v>
      </c>
      <c r="L31" s="80">
        <v>208012</v>
      </c>
      <c r="M31" s="79">
        <v>223039</v>
      </c>
      <c r="N31" s="78">
        <v>233185</v>
      </c>
      <c r="O31" s="77">
        <v>37.156081728996092</v>
      </c>
      <c r="P31" s="27">
        <v>39.184468916807781</v>
      </c>
      <c r="Q31" s="27">
        <v>39.153095141341836</v>
      </c>
      <c r="R31" s="27">
        <v>42.521632654729949</v>
      </c>
      <c r="S31" s="76">
        <v>44.167800372687289</v>
      </c>
      <c r="T31" s="26">
        <v>45.494541084291278</v>
      </c>
    </row>
    <row r="32" spans="1:20" s="5" customFormat="1" ht="9" customHeight="1" x14ac:dyDescent="0.15">
      <c r="A32" s="196" t="s">
        <v>47</v>
      </c>
      <c r="B32" s="111" t="s">
        <v>22</v>
      </c>
      <c r="C32" s="75">
        <v>401366</v>
      </c>
      <c r="D32" s="74">
        <v>411752</v>
      </c>
      <c r="E32" s="74">
        <v>508756</v>
      </c>
      <c r="F32" s="74">
        <v>518953</v>
      </c>
      <c r="G32" s="73">
        <v>535136</v>
      </c>
      <c r="H32" s="72">
        <v>544060</v>
      </c>
      <c r="I32" s="75">
        <v>196384</v>
      </c>
      <c r="J32" s="74">
        <v>218088</v>
      </c>
      <c r="K32" s="74">
        <v>236716</v>
      </c>
      <c r="L32" s="74">
        <v>249333</v>
      </c>
      <c r="M32" s="73">
        <v>276184</v>
      </c>
      <c r="N32" s="72">
        <v>290837</v>
      </c>
      <c r="O32" s="71">
        <v>48.928907779931535</v>
      </c>
      <c r="P32" s="25">
        <v>52.965862946628071</v>
      </c>
      <c r="Q32" s="25">
        <v>46.528394751118412</v>
      </c>
      <c r="R32" s="25">
        <v>48.045391393825639</v>
      </c>
      <c r="S32" s="70">
        <v>51.610058003946655</v>
      </c>
      <c r="T32" s="83">
        <v>53.456787854280776</v>
      </c>
    </row>
    <row r="33" spans="1:20" s="5" customFormat="1" ht="9" customHeight="1" x14ac:dyDescent="0.15">
      <c r="A33" s="197"/>
      <c r="B33" s="109" t="s">
        <v>21</v>
      </c>
      <c r="C33" s="41">
        <v>75053</v>
      </c>
      <c r="D33" s="40">
        <v>76788</v>
      </c>
      <c r="E33" s="40">
        <v>78655</v>
      </c>
      <c r="F33" s="40">
        <v>80251</v>
      </c>
      <c r="G33" s="39">
        <v>82304</v>
      </c>
      <c r="H33" s="38">
        <v>81345</v>
      </c>
      <c r="I33" s="41">
        <v>22552</v>
      </c>
      <c r="J33" s="40">
        <v>27783</v>
      </c>
      <c r="K33" s="40">
        <v>31241</v>
      </c>
      <c r="L33" s="40">
        <v>36775</v>
      </c>
      <c r="M33" s="39">
        <v>39441</v>
      </c>
      <c r="N33" s="38">
        <v>42823</v>
      </c>
      <c r="O33" s="63">
        <v>30.048099343130851</v>
      </c>
      <c r="P33" s="14">
        <v>36.18143459915612</v>
      </c>
      <c r="Q33" s="14">
        <v>39.719026126756084</v>
      </c>
      <c r="R33" s="14">
        <v>45.824974143624381</v>
      </c>
      <c r="S33" s="36">
        <v>47.921121695178847</v>
      </c>
      <c r="T33" s="13">
        <v>52.643678160919535</v>
      </c>
    </row>
    <row r="34" spans="1:20" s="5" customFormat="1" ht="9" customHeight="1" x14ac:dyDescent="0.15">
      <c r="A34" s="198"/>
      <c r="B34" s="110" t="s">
        <v>4</v>
      </c>
      <c r="C34" s="81">
        <v>476419</v>
      </c>
      <c r="D34" s="80">
        <v>488540</v>
      </c>
      <c r="E34" s="80">
        <v>587411</v>
      </c>
      <c r="F34" s="80">
        <v>599204</v>
      </c>
      <c r="G34" s="79">
        <v>617440</v>
      </c>
      <c r="H34" s="78">
        <v>625405</v>
      </c>
      <c r="I34" s="81">
        <v>218936</v>
      </c>
      <c r="J34" s="80">
        <v>245871</v>
      </c>
      <c r="K34" s="80">
        <v>267957</v>
      </c>
      <c r="L34" s="80">
        <v>286108</v>
      </c>
      <c r="M34" s="79">
        <v>315625</v>
      </c>
      <c r="N34" s="78">
        <v>333660</v>
      </c>
      <c r="O34" s="77">
        <v>45.954506432363104</v>
      </c>
      <c r="P34" s="27">
        <v>50.32771113931306</v>
      </c>
      <c r="Q34" s="27">
        <v>45.616612559179174</v>
      </c>
      <c r="R34" s="27">
        <v>47.748012363068341</v>
      </c>
      <c r="S34" s="76">
        <v>51.118327286861884</v>
      </c>
      <c r="T34" s="26">
        <v>53.351028533510281</v>
      </c>
    </row>
    <row r="35" spans="1:20" s="5" customFormat="1" ht="9" customHeight="1" x14ac:dyDescent="0.15">
      <c r="A35" s="196" t="s">
        <v>46</v>
      </c>
      <c r="B35" s="111" t="s">
        <v>20</v>
      </c>
      <c r="C35" s="75">
        <v>12259</v>
      </c>
      <c r="D35" s="74">
        <v>12583</v>
      </c>
      <c r="E35" s="74">
        <v>13755</v>
      </c>
      <c r="F35" s="74">
        <v>14216</v>
      </c>
      <c r="G35" s="73">
        <v>14417</v>
      </c>
      <c r="H35" s="72">
        <v>14381</v>
      </c>
      <c r="I35" s="75">
        <v>10562</v>
      </c>
      <c r="J35" s="74">
        <v>10893</v>
      </c>
      <c r="K35" s="74">
        <v>12435</v>
      </c>
      <c r="L35" s="74">
        <v>12830</v>
      </c>
      <c r="M35" s="73">
        <v>12963</v>
      </c>
      <c r="N35" s="72">
        <v>12908</v>
      </c>
      <c r="O35" s="71">
        <v>86.157109062729418</v>
      </c>
      <c r="P35" s="25">
        <v>86.569180640546776</v>
      </c>
      <c r="Q35" s="25">
        <v>90.403489640130857</v>
      </c>
      <c r="R35" s="25">
        <v>90.250422059651086</v>
      </c>
      <c r="S35" s="70">
        <v>89.914684053547901</v>
      </c>
      <c r="T35" s="24">
        <v>89.757318684375221</v>
      </c>
    </row>
    <row r="36" spans="1:20" s="5" customFormat="1" ht="9" customHeight="1" x14ac:dyDescent="0.15">
      <c r="A36" s="197"/>
      <c r="B36" s="109" t="s">
        <v>19</v>
      </c>
      <c r="C36" s="41">
        <v>560111</v>
      </c>
      <c r="D36" s="40">
        <v>569197</v>
      </c>
      <c r="E36" s="40">
        <v>582263</v>
      </c>
      <c r="F36" s="40">
        <v>593160</v>
      </c>
      <c r="G36" s="39">
        <v>613195</v>
      </c>
      <c r="H36" s="38">
        <v>624038</v>
      </c>
      <c r="I36" s="41">
        <v>183235</v>
      </c>
      <c r="J36" s="40">
        <v>204225</v>
      </c>
      <c r="K36" s="40">
        <v>231922</v>
      </c>
      <c r="L36" s="40">
        <v>254113</v>
      </c>
      <c r="M36" s="39">
        <v>275168</v>
      </c>
      <c r="N36" s="38">
        <v>302402</v>
      </c>
      <c r="O36" s="63">
        <v>32.714051321970111</v>
      </c>
      <c r="P36" s="14">
        <v>35.879493391567422</v>
      </c>
      <c r="Q36" s="14">
        <v>39.831141597525516</v>
      </c>
      <c r="R36" s="14">
        <v>42.840548924404878</v>
      </c>
      <c r="S36" s="36">
        <v>44.874468969903539</v>
      </c>
      <c r="T36" s="82">
        <v>48.458907951118363</v>
      </c>
    </row>
    <row r="37" spans="1:20" s="5" customFormat="1" ht="9" customHeight="1" x14ac:dyDescent="0.15">
      <c r="A37" s="197"/>
      <c r="B37" s="109" t="s">
        <v>18</v>
      </c>
      <c r="C37" s="69">
        <v>202120</v>
      </c>
      <c r="D37" s="68">
        <v>214306</v>
      </c>
      <c r="E37" s="68">
        <v>216853</v>
      </c>
      <c r="F37" s="68">
        <v>220470</v>
      </c>
      <c r="G37" s="67">
        <v>226820</v>
      </c>
      <c r="H37" s="66">
        <v>229872</v>
      </c>
      <c r="I37" s="69">
        <v>31097</v>
      </c>
      <c r="J37" s="68">
        <v>40013</v>
      </c>
      <c r="K37" s="68">
        <v>46594</v>
      </c>
      <c r="L37" s="68">
        <v>57046</v>
      </c>
      <c r="M37" s="67">
        <v>67755</v>
      </c>
      <c r="N37" s="66">
        <v>77703</v>
      </c>
      <c r="O37" s="65">
        <v>15.385414605185039</v>
      </c>
      <c r="P37" s="23">
        <v>18.670965815236158</v>
      </c>
      <c r="Q37" s="23">
        <v>21.48644473445145</v>
      </c>
      <c r="R37" s="23">
        <v>25.874722184424186</v>
      </c>
      <c r="S37" s="64">
        <v>29.871704435234985</v>
      </c>
      <c r="T37" s="22">
        <v>33.802724994779702</v>
      </c>
    </row>
    <row r="38" spans="1:20" s="5" customFormat="1" ht="9" customHeight="1" x14ac:dyDescent="0.15">
      <c r="A38" s="198"/>
      <c r="B38" s="110" t="s">
        <v>4</v>
      </c>
      <c r="C38" s="81">
        <v>774490</v>
      </c>
      <c r="D38" s="80">
        <v>796086</v>
      </c>
      <c r="E38" s="80">
        <v>812871</v>
      </c>
      <c r="F38" s="80">
        <v>827846</v>
      </c>
      <c r="G38" s="79">
        <v>854432</v>
      </c>
      <c r="H38" s="78">
        <v>868291</v>
      </c>
      <c r="I38" s="81">
        <v>224894</v>
      </c>
      <c r="J38" s="80">
        <v>255131</v>
      </c>
      <c r="K38" s="80">
        <v>290951</v>
      </c>
      <c r="L38" s="80">
        <v>323989</v>
      </c>
      <c r="M38" s="79">
        <v>355886</v>
      </c>
      <c r="N38" s="78">
        <v>393013</v>
      </c>
      <c r="O38" s="77">
        <v>29.037689318131932</v>
      </c>
      <c r="P38" s="27">
        <v>32.048170675027571</v>
      </c>
      <c r="Q38" s="27">
        <v>35.793010207031621</v>
      </c>
      <c r="R38" s="27">
        <v>39.13638526972408</v>
      </c>
      <c r="S38" s="76">
        <v>41.651763978877192</v>
      </c>
      <c r="T38" s="26">
        <v>45.262820874568547</v>
      </c>
    </row>
    <row r="39" spans="1:20" s="5" customFormat="1" ht="9" customHeight="1" x14ac:dyDescent="0.15">
      <c r="A39" s="196" t="s">
        <v>45</v>
      </c>
      <c r="B39" s="111" t="s">
        <v>17</v>
      </c>
      <c r="C39" s="75">
        <v>287708</v>
      </c>
      <c r="D39" s="74">
        <v>291688</v>
      </c>
      <c r="E39" s="74">
        <v>297533</v>
      </c>
      <c r="F39" s="74">
        <v>390016</v>
      </c>
      <c r="G39" s="73">
        <v>399833</v>
      </c>
      <c r="H39" s="72">
        <v>406659</v>
      </c>
      <c r="I39" s="75">
        <v>177753</v>
      </c>
      <c r="J39" s="74">
        <v>194175</v>
      </c>
      <c r="K39" s="74">
        <v>208582</v>
      </c>
      <c r="L39" s="74">
        <v>218455</v>
      </c>
      <c r="M39" s="73">
        <v>230445</v>
      </c>
      <c r="N39" s="72">
        <v>249035</v>
      </c>
      <c r="O39" s="71">
        <v>61.782432188190803</v>
      </c>
      <c r="P39" s="25">
        <v>66.569416636954557</v>
      </c>
      <c r="Q39" s="25">
        <v>70.103820416558833</v>
      </c>
      <c r="R39" s="25">
        <v>56.011804643912043</v>
      </c>
      <c r="S39" s="70">
        <v>57.63531274307023</v>
      </c>
      <c r="T39" s="24">
        <v>61.239269264912366</v>
      </c>
    </row>
    <row r="40" spans="1:20" s="5" customFormat="1" ht="9" customHeight="1" x14ac:dyDescent="0.15">
      <c r="A40" s="197"/>
      <c r="B40" s="109" t="s">
        <v>16</v>
      </c>
      <c r="C40" s="41">
        <v>94828</v>
      </c>
      <c r="D40" s="40">
        <v>96219</v>
      </c>
      <c r="E40" s="40">
        <v>99379</v>
      </c>
      <c r="F40" s="40">
        <v>101757</v>
      </c>
      <c r="G40" s="39">
        <v>131205</v>
      </c>
      <c r="H40" s="38">
        <v>123185</v>
      </c>
      <c r="I40" s="41">
        <v>46527</v>
      </c>
      <c r="J40" s="40">
        <v>48824</v>
      </c>
      <c r="K40" s="40">
        <v>56073</v>
      </c>
      <c r="L40" s="40">
        <v>61902</v>
      </c>
      <c r="M40" s="39">
        <v>69699</v>
      </c>
      <c r="N40" s="38">
        <v>77559</v>
      </c>
      <c r="O40" s="63">
        <v>49.064622263466482</v>
      </c>
      <c r="P40" s="14">
        <v>50.742576829940035</v>
      </c>
      <c r="Q40" s="14">
        <v>56.423389247225266</v>
      </c>
      <c r="R40" s="14">
        <v>60.833161354992782</v>
      </c>
      <c r="S40" s="36">
        <v>53.122213330284673</v>
      </c>
      <c r="T40" s="13">
        <v>62.961399521045578</v>
      </c>
    </row>
    <row r="41" spans="1:20" s="5" customFormat="1" ht="9" customHeight="1" x14ac:dyDescent="0.15">
      <c r="A41" s="197"/>
      <c r="B41" s="109" t="s">
        <v>15</v>
      </c>
      <c r="C41" s="41">
        <v>162632</v>
      </c>
      <c r="D41" s="40">
        <v>164151</v>
      </c>
      <c r="E41" s="40">
        <v>164525</v>
      </c>
      <c r="F41" s="40">
        <v>165658</v>
      </c>
      <c r="G41" s="39">
        <v>169986</v>
      </c>
      <c r="H41" s="38">
        <v>173962</v>
      </c>
      <c r="I41" s="41">
        <v>63792</v>
      </c>
      <c r="J41" s="40">
        <v>67131</v>
      </c>
      <c r="K41" s="40">
        <v>70329</v>
      </c>
      <c r="L41" s="40">
        <v>74014</v>
      </c>
      <c r="M41" s="39">
        <v>79055</v>
      </c>
      <c r="N41" s="38">
        <v>82301</v>
      </c>
      <c r="O41" s="63">
        <v>39.22475281617394</v>
      </c>
      <c r="P41" s="14">
        <v>40.895882449695705</v>
      </c>
      <c r="Q41" s="14">
        <v>42.746695031150281</v>
      </c>
      <c r="R41" s="14">
        <v>44.678796073838875</v>
      </c>
      <c r="S41" s="36">
        <v>46.506771145859069</v>
      </c>
      <c r="T41" s="13">
        <v>47.309757303319117</v>
      </c>
    </row>
    <row r="42" spans="1:20" s="5" customFormat="1" ht="9" customHeight="1" x14ac:dyDescent="0.15">
      <c r="A42" s="198"/>
      <c r="B42" s="110" t="s">
        <v>4</v>
      </c>
      <c r="C42" s="81">
        <v>545168</v>
      </c>
      <c r="D42" s="80">
        <v>552058</v>
      </c>
      <c r="E42" s="80">
        <v>561437</v>
      </c>
      <c r="F42" s="80">
        <v>657431</v>
      </c>
      <c r="G42" s="79">
        <v>701024</v>
      </c>
      <c r="H42" s="78">
        <v>703806</v>
      </c>
      <c r="I42" s="81">
        <v>288072</v>
      </c>
      <c r="J42" s="80">
        <v>310130</v>
      </c>
      <c r="K42" s="80">
        <v>334984</v>
      </c>
      <c r="L42" s="80">
        <v>354371</v>
      </c>
      <c r="M42" s="79">
        <v>379199</v>
      </c>
      <c r="N42" s="78">
        <v>408895</v>
      </c>
      <c r="O42" s="77">
        <v>52.84095911718957</v>
      </c>
      <c r="P42" s="27">
        <v>56.177068351513796</v>
      </c>
      <c r="Q42" s="27">
        <v>59.665465582068869</v>
      </c>
      <c r="R42" s="27">
        <v>53.902386714347209</v>
      </c>
      <c r="S42" s="76">
        <v>54.092156616606566</v>
      </c>
      <c r="T42" s="26">
        <v>58.097686010065274</v>
      </c>
    </row>
    <row r="43" spans="1:20" s="5" customFormat="1" ht="9" customHeight="1" x14ac:dyDescent="0.15">
      <c r="A43" s="196" t="s">
        <v>44</v>
      </c>
      <c r="B43" s="111" t="s">
        <v>14</v>
      </c>
      <c r="C43" s="75">
        <v>87501</v>
      </c>
      <c r="D43" s="74">
        <v>87723</v>
      </c>
      <c r="E43" s="74">
        <v>87229</v>
      </c>
      <c r="F43" s="74">
        <v>87455</v>
      </c>
      <c r="G43" s="73">
        <v>70778</v>
      </c>
      <c r="H43" s="72">
        <v>91145</v>
      </c>
      <c r="I43" s="75">
        <v>14911</v>
      </c>
      <c r="J43" s="74">
        <v>16354</v>
      </c>
      <c r="K43" s="74">
        <v>17794</v>
      </c>
      <c r="L43" s="74">
        <v>18143</v>
      </c>
      <c r="M43" s="73">
        <v>18777</v>
      </c>
      <c r="N43" s="72">
        <v>21180</v>
      </c>
      <c r="O43" s="71">
        <v>17.040948103450244</v>
      </c>
      <c r="P43" s="25">
        <v>18.642773274967798</v>
      </c>
      <c r="Q43" s="25">
        <v>20.399179172064336</v>
      </c>
      <c r="R43" s="25">
        <v>20.745526270653478</v>
      </c>
      <c r="S43" s="70">
        <v>26.529430048885246</v>
      </c>
      <c r="T43" s="24">
        <v>23.237698173240439</v>
      </c>
    </row>
    <row r="44" spans="1:20" s="5" customFormat="1" ht="9" customHeight="1" x14ac:dyDescent="0.15">
      <c r="A44" s="197"/>
      <c r="B44" s="109" t="s">
        <v>119</v>
      </c>
      <c r="C44" s="41">
        <v>141524</v>
      </c>
      <c r="D44" s="40">
        <v>145158</v>
      </c>
      <c r="E44" s="40">
        <v>149119</v>
      </c>
      <c r="F44" s="40">
        <v>153248</v>
      </c>
      <c r="G44" s="39">
        <v>157001</v>
      </c>
      <c r="H44" s="38">
        <v>158190</v>
      </c>
      <c r="I44" s="41">
        <v>49623</v>
      </c>
      <c r="J44" s="40">
        <v>54737</v>
      </c>
      <c r="K44" s="40">
        <v>60414</v>
      </c>
      <c r="L44" s="40">
        <v>67118</v>
      </c>
      <c r="M44" s="39">
        <v>71524</v>
      </c>
      <c r="N44" s="38">
        <v>75991</v>
      </c>
      <c r="O44" s="63">
        <v>35.063310816539953</v>
      </c>
      <c r="P44" s="14">
        <v>37.708565838603455</v>
      </c>
      <c r="Q44" s="14">
        <v>40.513951944420228</v>
      </c>
      <c r="R44" s="14">
        <v>43.796982668615577</v>
      </c>
      <c r="S44" s="36">
        <v>45.556397729950767</v>
      </c>
      <c r="T44" s="13">
        <v>48.037802642392059</v>
      </c>
    </row>
    <row r="45" spans="1:20" s="5" customFormat="1" ht="9" customHeight="1" x14ac:dyDescent="0.15">
      <c r="A45" s="197"/>
      <c r="B45" s="109" t="s">
        <v>13</v>
      </c>
      <c r="C45" s="41">
        <v>166859</v>
      </c>
      <c r="D45" s="40">
        <v>169483</v>
      </c>
      <c r="E45" s="40">
        <v>171865</v>
      </c>
      <c r="F45" s="40">
        <v>175032</v>
      </c>
      <c r="G45" s="39">
        <v>180113</v>
      </c>
      <c r="H45" s="38">
        <v>184302</v>
      </c>
      <c r="I45" s="41">
        <v>84117</v>
      </c>
      <c r="J45" s="40">
        <v>84960</v>
      </c>
      <c r="K45" s="40">
        <v>90365</v>
      </c>
      <c r="L45" s="40">
        <v>99413</v>
      </c>
      <c r="M45" s="39">
        <v>101562</v>
      </c>
      <c r="N45" s="38">
        <v>113937</v>
      </c>
      <c r="O45" s="63">
        <v>50.41202452369965</v>
      </c>
      <c r="P45" s="14">
        <v>50.128921484750691</v>
      </c>
      <c r="Q45" s="14">
        <v>52.579059145259365</v>
      </c>
      <c r="R45" s="14">
        <v>56.797042826454593</v>
      </c>
      <c r="S45" s="36">
        <v>56.387934241281869</v>
      </c>
      <c r="T45" s="13">
        <v>61.820815834879703</v>
      </c>
    </row>
    <row r="46" spans="1:20" s="5" customFormat="1" ht="9" customHeight="1" x14ac:dyDescent="0.15">
      <c r="A46" s="197"/>
      <c r="B46" s="109" t="s">
        <v>12</v>
      </c>
      <c r="C46" s="41">
        <v>93449</v>
      </c>
      <c r="D46" s="40">
        <v>94649</v>
      </c>
      <c r="E46" s="40">
        <v>96380</v>
      </c>
      <c r="F46" s="40">
        <v>97188</v>
      </c>
      <c r="G46" s="39">
        <v>98855</v>
      </c>
      <c r="H46" s="38">
        <v>100675</v>
      </c>
      <c r="I46" s="41">
        <v>43892</v>
      </c>
      <c r="J46" s="40">
        <v>45230</v>
      </c>
      <c r="K46" s="40">
        <v>47993</v>
      </c>
      <c r="L46" s="40">
        <v>50318</v>
      </c>
      <c r="M46" s="39">
        <v>54869</v>
      </c>
      <c r="N46" s="38">
        <v>57059</v>
      </c>
      <c r="O46" s="63">
        <v>46.968934927072517</v>
      </c>
      <c r="P46" s="14">
        <v>47.787087026804301</v>
      </c>
      <c r="Q46" s="14">
        <v>49.795600747042954</v>
      </c>
      <c r="R46" s="14">
        <v>51.773881549162446</v>
      </c>
      <c r="S46" s="36">
        <v>55.504526832229018</v>
      </c>
      <c r="T46" s="13">
        <v>56.676434070027312</v>
      </c>
    </row>
    <row r="47" spans="1:20" s="5" customFormat="1" ht="9" customHeight="1" x14ac:dyDescent="0.15">
      <c r="A47" s="198"/>
      <c r="B47" s="110" t="s">
        <v>4</v>
      </c>
      <c r="C47" s="81">
        <v>489333</v>
      </c>
      <c r="D47" s="80">
        <v>497013</v>
      </c>
      <c r="E47" s="80">
        <v>504593</v>
      </c>
      <c r="F47" s="80">
        <v>512923</v>
      </c>
      <c r="G47" s="79">
        <v>506747</v>
      </c>
      <c r="H47" s="78">
        <v>534312</v>
      </c>
      <c r="I47" s="81">
        <v>192543</v>
      </c>
      <c r="J47" s="80">
        <v>201281</v>
      </c>
      <c r="K47" s="80">
        <v>216566</v>
      </c>
      <c r="L47" s="80">
        <v>234992</v>
      </c>
      <c r="M47" s="79">
        <v>246732</v>
      </c>
      <c r="N47" s="78">
        <v>268167</v>
      </c>
      <c r="O47" s="77">
        <v>39.348051327010438</v>
      </c>
      <c r="P47" s="27">
        <v>40.498135863649445</v>
      </c>
      <c r="Q47" s="27">
        <v>42.918946556928063</v>
      </c>
      <c r="R47" s="27">
        <v>45.814284015339538</v>
      </c>
      <c r="S47" s="76">
        <v>48.689385432967534</v>
      </c>
      <c r="T47" s="26">
        <v>50.189215289942958</v>
      </c>
    </row>
    <row r="48" spans="1:20" s="5" customFormat="1" ht="9" customHeight="1" x14ac:dyDescent="0.15">
      <c r="A48" s="196" t="s">
        <v>43</v>
      </c>
      <c r="B48" s="111" t="s">
        <v>42</v>
      </c>
      <c r="C48" s="75">
        <v>92584</v>
      </c>
      <c r="D48" s="74">
        <v>95011</v>
      </c>
      <c r="E48" s="74">
        <v>97107</v>
      </c>
      <c r="F48" s="74">
        <v>97855</v>
      </c>
      <c r="G48" s="73">
        <v>100937</v>
      </c>
      <c r="H48" s="72">
        <v>103194</v>
      </c>
      <c r="I48" s="75">
        <v>67385</v>
      </c>
      <c r="J48" s="74">
        <v>71886</v>
      </c>
      <c r="K48" s="74">
        <v>76591</v>
      </c>
      <c r="L48" s="74">
        <v>81315</v>
      </c>
      <c r="M48" s="73">
        <v>85392</v>
      </c>
      <c r="N48" s="72">
        <v>88776</v>
      </c>
      <c r="O48" s="71">
        <v>72.782554221031717</v>
      </c>
      <c r="P48" s="25">
        <v>75.660712970077142</v>
      </c>
      <c r="Q48" s="25">
        <v>78.872789809179565</v>
      </c>
      <c r="R48" s="25">
        <v>83.09744008992898</v>
      </c>
      <c r="S48" s="70">
        <v>84.599304516678714</v>
      </c>
      <c r="T48" s="24">
        <v>86.028257456828882</v>
      </c>
    </row>
    <row r="49" spans="1:20" s="5" customFormat="1" ht="9" customHeight="1" x14ac:dyDescent="0.15">
      <c r="A49" s="197"/>
      <c r="B49" s="96" t="s">
        <v>11</v>
      </c>
      <c r="C49" s="41">
        <v>238993</v>
      </c>
      <c r="D49" s="40">
        <v>245022</v>
      </c>
      <c r="E49" s="40">
        <v>249116</v>
      </c>
      <c r="F49" s="40">
        <v>252781</v>
      </c>
      <c r="G49" s="39">
        <v>376989</v>
      </c>
      <c r="H49" s="38">
        <v>378726</v>
      </c>
      <c r="I49" s="41">
        <v>131534</v>
      </c>
      <c r="J49" s="40">
        <v>146818</v>
      </c>
      <c r="K49" s="40">
        <v>158574</v>
      </c>
      <c r="L49" s="40">
        <v>165891</v>
      </c>
      <c r="M49" s="39">
        <v>177231</v>
      </c>
      <c r="N49" s="38">
        <v>186238</v>
      </c>
      <c r="O49" s="63">
        <v>55.036758398781551</v>
      </c>
      <c r="P49" s="14">
        <v>59.920333684322223</v>
      </c>
      <c r="Q49" s="14">
        <v>63.654682958942821</v>
      </c>
      <c r="R49" s="14">
        <v>65.626372235255019</v>
      </c>
      <c r="S49" s="36">
        <v>47.01224704169087</v>
      </c>
      <c r="T49" s="13">
        <v>49.174865205980048</v>
      </c>
    </row>
    <row r="50" spans="1:20" s="5" customFormat="1" ht="9" customHeight="1" x14ac:dyDescent="0.15">
      <c r="A50" s="197"/>
      <c r="B50" s="96" t="s">
        <v>10</v>
      </c>
      <c r="C50" s="41">
        <v>179593</v>
      </c>
      <c r="D50" s="40">
        <v>183065</v>
      </c>
      <c r="E50" s="40">
        <v>229887</v>
      </c>
      <c r="F50" s="40">
        <v>233889</v>
      </c>
      <c r="G50" s="39">
        <v>240217</v>
      </c>
      <c r="H50" s="38">
        <v>242823</v>
      </c>
      <c r="I50" s="41">
        <v>102131</v>
      </c>
      <c r="J50" s="40">
        <v>115005</v>
      </c>
      <c r="K50" s="40">
        <v>127316</v>
      </c>
      <c r="L50" s="40">
        <v>135441</v>
      </c>
      <c r="M50" s="39">
        <v>143868</v>
      </c>
      <c r="N50" s="38">
        <v>153263</v>
      </c>
      <c r="O50" s="63">
        <v>56.868029377536985</v>
      </c>
      <c r="P50" s="14">
        <v>62.821948488241887</v>
      </c>
      <c r="Q50" s="14">
        <v>55.381992022167417</v>
      </c>
      <c r="R50" s="14">
        <v>57.908238523402119</v>
      </c>
      <c r="S50" s="36">
        <v>59.89084869097524</v>
      </c>
      <c r="T50" s="13">
        <v>63.117167648863571</v>
      </c>
    </row>
    <row r="51" spans="1:20" s="5" customFormat="1" ht="9" customHeight="1" x14ac:dyDescent="0.15">
      <c r="A51" s="197"/>
      <c r="B51" s="109" t="s">
        <v>9</v>
      </c>
      <c r="C51" s="41">
        <v>164752</v>
      </c>
      <c r="D51" s="40">
        <v>165930</v>
      </c>
      <c r="E51" s="40">
        <v>167956</v>
      </c>
      <c r="F51" s="40">
        <v>208584</v>
      </c>
      <c r="G51" s="39">
        <v>211039</v>
      </c>
      <c r="H51" s="38">
        <v>213530</v>
      </c>
      <c r="I51" s="41">
        <v>28214</v>
      </c>
      <c r="J51" s="40">
        <v>30438</v>
      </c>
      <c r="K51" s="40">
        <v>33915</v>
      </c>
      <c r="L51" s="40">
        <v>36673</v>
      </c>
      <c r="M51" s="39">
        <v>39585</v>
      </c>
      <c r="N51" s="38">
        <v>42156</v>
      </c>
      <c r="O51" s="63">
        <v>17.12513353403904</v>
      </c>
      <c r="P51" s="14">
        <v>18.343879949376245</v>
      </c>
      <c r="Q51" s="14">
        <v>20.192788587487197</v>
      </c>
      <c r="R51" s="14">
        <v>17.581885475396003</v>
      </c>
      <c r="S51" s="36">
        <v>18.757196537132948</v>
      </c>
      <c r="T51" s="13">
        <v>19.742424951997378</v>
      </c>
    </row>
    <row r="52" spans="1:20" s="5" customFormat="1" ht="9" customHeight="1" x14ac:dyDescent="0.15">
      <c r="A52" s="197"/>
      <c r="B52" s="109" t="s">
        <v>8</v>
      </c>
      <c r="C52" s="41">
        <v>145976</v>
      </c>
      <c r="D52" s="40">
        <v>148548</v>
      </c>
      <c r="E52" s="40">
        <v>149150</v>
      </c>
      <c r="F52" s="40">
        <v>150535</v>
      </c>
      <c r="G52" s="39">
        <v>153424</v>
      </c>
      <c r="H52" s="38">
        <v>154710</v>
      </c>
      <c r="I52" s="41">
        <v>48371</v>
      </c>
      <c r="J52" s="40">
        <v>52802</v>
      </c>
      <c r="K52" s="40">
        <v>57280</v>
      </c>
      <c r="L52" s="40">
        <v>62210</v>
      </c>
      <c r="M52" s="39">
        <v>60764</v>
      </c>
      <c r="N52" s="38">
        <v>63748</v>
      </c>
      <c r="O52" s="63">
        <v>33.136268975722039</v>
      </c>
      <c r="P52" s="14">
        <v>35.545412930500582</v>
      </c>
      <c r="Q52" s="14">
        <v>38.404290982232652</v>
      </c>
      <c r="R52" s="14">
        <v>41.325937489620358</v>
      </c>
      <c r="S52" s="36">
        <v>39.605276879758058</v>
      </c>
      <c r="T52" s="13">
        <v>41.204834852304309</v>
      </c>
    </row>
    <row r="53" spans="1:20" s="5" customFormat="1" ht="9" customHeight="1" x14ac:dyDescent="0.15">
      <c r="A53" s="198"/>
      <c r="B53" s="110" t="s">
        <v>4</v>
      </c>
      <c r="C53" s="81">
        <v>821898</v>
      </c>
      <c r="D53" s="80">
        <v>837576</v>
      </c>
      <c r="E53" s="80">
        <v>893216</v>
      </c>
      <c r="F53" s="80">
        <v>943644</v>
      </c>
      <c r="G53" s="79">
        <v>1082606</v>
      </c>
      <c r="H53" s="78">
        <v>1092983</v>
      </c>
      <c r="I53" s="81">
        <v>377635</v>
      </c>
      <c r="J53" s="80">
        <v>416949</v>
      </c>
      <c r="K53" s="80">
        <v>453676</v>
      </c>
      <c r="L53" s="80">
        <v>481530</v>
      </c>
      <c r="M53" s="79">
        <v>506840</v>
      </c>
      <c r="N53" s="78">
        <v>534181</v>
      </c>
      <c r="O53" s="77">
        <v>45.946698982112132</v>
      </c>
      <c r="P53" s="27">
        <v>49.780437834894983</v>
      </c>
      <c r="Q53" s="27">
        <v>50.791297961523306</v>
      </c>
      <c r="R53" s="27">
        <v>51.028777801798128</v>
      </c>
      <c r="S53" s="76">
        <v>46.816662756349032</v>
      </c>
      <c r="T53" s="26">
        <v>48.873678730593248</v>
      </c>
    </row>
    <row r="54" spans="1:20" s="5" customFormat="1" ht="9" customHeight="1" x14ac:dyDescent="0.15">
      <c r="A54" s="196" t="s">
        <v>41</v>
      </c>
      <c r="B54" s="111" t="s">
        <v>7</v>
      </c>
      <c r="C54" s="75">
        <v>676701</v>
      </c>
      <c r="D54" s="74">
        <v>736194</v>
      </c>
      <c r="E54" s="74">
        <v>755152</v>
      </c>
      <c r="F54" s="74">
        <v>773937</v>
      </c>
      <c r="G54" s="73">
        <v>797381</v>
      </c>
      <c r="H54" s="72">
        <v>833193</v>
      </c>
      <c r="I54" s="75">
        <v>336557</v>
      </c>
      <c r="J54" s="74">
        <v>372370</v>
      </c>
      <c r="K54" s="74">
        <v>407592</v>
      </c>
      <c r="L54" s="74">
        <v>433890</v>
      </c>
      <c r="M54" s="73">
        <v>457987</v>
      </c>
      <c r="N54" s="72">
        <v>493624</v>
      </c>
      <c r="O54" s="71">
        <v>49.7349641865462</v>
      </c>
      <c r="P54" s="25">
        <v>50.580417661648966</v>
      </c>
      <c r="Q54" s="25">
        <v>53.974828908617077</v>
      </c>
      <c r="R54" s="25">
        <v>56.062702778133101</v>
      </c>
      <c r="S54" s="70">
        <v>57.436407438852946</v>
      </c>
      <c r="T54" s="24">
        <v>59.244856833890822</v>
      </c>
    </row>
    <row r="55" spans="1:20" s="5" customFormat="1" ht="9" customHeight="1" x14ac:dyDescent="0.15">
      <c r="A55" s="197"/>
      <c r="B55" s="109" t="s">
        <v>6</v>
      </c>
      <c r="C55" s="41">
        <v>79676</v>
      </c>
      <c r="D55" s="40">
        <v>82501</v>
      </c>
      <c r="E55" s="40">
        <v>87272</v>
      </c>
      <c r="F55" s="40">
        <v>91153</v>
      </c>
      <c r="G55" s="39">
        <v>96584</v>
      </c>
      <c r="H55" s="38">
        <v>99954</v>
      </c>
      <c r="I55" s="41">
        <v>50377</v>
      </c>
      <c r="J55" s="40">
        <v>54981</v>
      </c>
      <c r="K55" s="40">
        <v>61990</v>
      </c>
      <c r="L55" s="40">
        <v>66461</v>
      </c>
      <c r="M55" s="39">
        <v>67726</v>
      </c>
      <c r="N55" s="38">
        <v>71770</v>
      </c>
      <c r="O55" s="63">
        <v>63.227320648626936</v>
      </c>
      <c r="P55" s="14">
        <v>66.642828571774899</v>
      </c>
      <c r="Q55" s="14">
        <v>71.030800256668797</v>
      </c>
      <c r="R55" s="14">
        <v>72.911478503175971</v>
      </c>
      <c r="S55" s="36">
        <v>70.121345150335458</v>
      </c>
      <c r="T55" s="13">
        <v>71.80302939352103</v>
      </c>
    </row>
    <row r="56" spans="1:20" s="5" customFormat="1" ht="9" customHeight="1" x14ac:dyDescent="0.15">
      <c r="A56" s="197"/>
      <c r="B56" s="109" t="s">
        <v>5</v>
      </c>
      <c r="C56" s="69">
        <v>164330</v>
      </c>
      <c r="D56" s="68">
        <v>166011</v>
      </c>
      <c r="E56" s="68">
        <v>167466</v>
      </c>
      <c r="F56" s="68">
        <v>169951</v>
      </c>
      <c r="G56" s="67">
        <v>174740</v>
      </c>
      <c r="H56" s="66">
        <v>176780</v>
      </c>
      <c r="I56" s="69">
        <v>46302</v>
      </c>
      <c r="J56" s="68">
        <v>50469</v>
      </c>
      <c r="K56" s="68">
        <v>57010</v>
      </c>
      <c r="L56" s="68">
        <v>66783</v>
      </c>
      <c r="M56" s="67">
        <v>75503</v>
      </c>
      <c r="N56" s="66">
        <v>82805</v>
      </c>
      <c r="O56" s="65">
        <v>28.176230755187731</v>
      </c>
      <c r="P56" s="23">
        <v>30.400997524260443</v>
      </c>
      <c r="Q56" s="23">
        <v>34.042731061827475</v>
      </c>
      <c r="R56" s="23">
        <v>39.29544398091214</v>
      </c>
      <c r="S56" s="64">
        <v>43.20876731143413</v>
      </c>
      <c r="T56" s="22">
        <v>46.840705962212922</v>
      </c>
    </row>
    <row r="57" spans="1:20" s="5" customFormat="1" ht="9" customHeight="1" x14ac:dyDescent="0.15">
      <c r="A57" s="197"/>
      <c r="B57" s="109" t="s">
        <v>4</v>
      </c>
      <c r="C57" s="41">
        <v>920707</v>
      </c>
      <c r="D57" s="40">
        <v>984706</v>
      </c>
      <c r="E57" s="40">
        <v>1009890</v>
      </c>
      <c r="F57" s="40">
        <v>1035041</v>
      </c>
      <c r="G57" s="39">
        <v>1068705</v>
      </c>
      <c r="H57" s="38">
        <v>1109927</v>
      </c>
      <c r="I57" s="41">
        <v>433236</v>
      </c>
      <c r="J57" s="40">
        <v>477820</v>
      </c>
      <c r="K57" s="40">
        <v>526592</v>
      </c>
      <c r="L57" s="40">
        <v>567134</v>
      </c>
      <c r="M57" s="39">
        <v>601216</v>
      </c>
      <c r="N57" s="38">
        <v>648199</v>
      </c>
      <c r="O57" s="63">
        <v>47.05470904424535</v>
      </c>
      <c r="P57" s="14">
        <v>48.524128013843729</v>
      </c>
      <c r="Q57" s="14">
        <v>52.143500777312383</v>
      </c>
      <c r="R57" s="14">
        <v>54.793384996343143</v>
      </c>
      <c r="S57" s="36">
        <v>56.256497349596003</v>
      </c>
      <c r="T57" s="13">
        <v>58.400147036697007</v>
      </c>
    </row>
    <row r="58" spans="1:20" ht="9" customHeight="1" x14ac:dyDescent="0.15">
      <c r="A58" s="115" t="s">
        <v>40</v>
      </c>
      <c r="B58" s="116" t="s">
        <v>39</v>
      </c>
      <c r="C58" s="62">
        <v>208424</v>
      </c>
      <c r="D58" s="61">
        <v>211850</v>
      </c>
      <c r="E58" s="61">
        <v>214681</v>
      </c>
      <c r="F58" s="61">
        <v>217711</v>
      </c>
      <c r="G58" s="60">
        <v>224713</v>
      </c>
      <c r="H58" s="59">
        <v>194135</v>
      </c>
      <c r="I58" s="62">
        <v>4896</v>
      </c>
      <c r="J58" s="61">
        <v>5217</v>
      </c>
      <c r="K58" s="61">
        <v>5671</v>
      </c>
      <c r="L58" s="61">
        <v>6515</v>
      </c>
      <c r="M58" s="60">
        <v>9700</v>
      </c>
      <c r="N58" s="59">
        <v>10894</v>
      </c>
      <c r="O58" s="58">
        <v>2.3490576900932711</v>
      </c>
      <c r="P58" s="21">
        <v>2.4625914562190232</v>
      </c>
      <c r="Q58" s="21">
        <v>2.6415938066247131</v>
      </c>
      <c r="R58" s="21">
        <v>2.9924992306314331</v>
      </c>
      <c r="S58" s="57">
        <v>4.3166171961568756</v>
      </c>
      <c r="T58" s="20">
        <v>5.6115589666984311</v>
      </c>
    </row>
    <row r="59" spans="1:20" ht="9" customHeight="1" x14ac:dyDescent="0.15">
      <c r="A59" s="199" t="s">
        <v>38</v>
      </c>
      <c r="B59" s="200"/>
      <c r="C59" s="56">
        <v>8220325</v>
      </c>
      <c r="D59" s="55">
        <v>8405343</v>
      </c>
      <c r="E59" s="55">
        <v>8705095</v>
      </c>
      <c r="F59" s="55">
        <v>8969789</v>
      </c>
      <c r="G59" s="54">
        <v>9368736</v>
      </c>
      <c r="H59" s="53">
        <v>9491432</v>
      </c>
      <c r="I59" s="56">
        <v>4182452</v>
      </c>
      <c r="J59" s="55">
        <v>4522015</v>
      </c>
      <c r="K59" s="55">
        <v>4923559</v>
      </c>
      <c r="L59" s="55">
        <v>5252293</v>
      </c>
      <c r="M59" s="54">
        <v>5577616</v>
      </c>
      <c r="N59" s="53">
        <v>5924549</v>
      </c>
      <c r="O59" s="52">
        <v>50.879399537122929</v>
      </c>
      <c r="P59" s="19">
        <v>53.799291712426253</v>
      </c>
      <c r="Q59" s="19">
        <v>56.559509115064223</v>
      </c>
      <c r="R59" s="19">
        <v>58.555368470763355</v>
      </c>
      <c r="S59" s="51">
        <v>59.5343491373863</v>
      </c>
      <c r="T59" s="18">
        <v>62.419969926561137</v>
      </c>
    </row>
    <row r="60" spans="1:20" ht="9" customHeight="1" x14ac:dyDescent="0.15">
      <c r="A60" s="176" t="s">
        <v>3</v>
      </c>
      <c r="B60" s="177"/>
      <c r="C60" s="56">
        <v>17189520</v>
      </c>
      <c r="D60" s="55">
        <v>17640659</v>
      </c>
      <c r="E60" s="55">
        <v>18103112</v>
      </c>
      <c r="F60" s="55">
        <v>18481247</v>
      </c>
      <c r="G60" s="54">
        <v>19173013</v>
      </c>
      <c r="H60" s="53">
        <v>19331316</v>
      </c>
      <c r="I60" s="56">
        <v>11511445</v>
      </c>
      <c r="J60" s="55">
        <v>12037675</v>
      </c>
      <c r="K60" s="55">
        <v>12635177</v>
      </c>
      <c r="L60" s="55">
        <v>13145581</v>
      </c>
      <c r="M60" s="54">
        <v>13881781</v>
      </c>
      <c r="N60" s="53">
        <v>14486948</v>
      </c>
      <c r="O60" s="52">
        <v>66.967809455994114</v>
      </c>
      <c r="P60" s="19">
        <v>68.238238718859662</v>
      </c>
      <c r="Q60" s="19">
        <v>69.795607517646687</v>
      </c>
      <c r="R60" s="19">
        <v>71.129296632418786</v>
      </c>
      <c r="S60" s="51">
        <v>72.402709996597821</v>
      </c>
      <c r="T60" s="18">
        <v>74.940309288824409</v>
      </c>
    </row>
    <row r="61" spans="1:20" ht="9" customHeight="1" x14ac:dyDescent="0.15">
      <c r="A61" s="117"/>
      <c r="B61" s="118"/>
      <c r="C61" s="50">
        <v>0</v>
      </c>
      <c r="D61" s="50">
        <v>0</v>
      </c>
      <c r="E61" s="50">
        <v>0</v>
      </c>
      <c r="F61" s="50"/>
      <c r="G61" s="50"/>
      <c r="H61" s="50"/>
      <c r="I61" s="50">
        <v>0</v>
      </c>
      <c r="J61" s="50">
        <v>0</v>
      </c>
      <c r="K61" s="50">
        <v>0</v>
      </c>
      <c r="L61" s="50"/>
      <c r="M61" s="50"/>
      <c r="N61" s="50"/>
      <c r="O61" s="17">
        <v>0</v>
      </c>
      <c r="P61" s="17">
        <v>0</v>
      </c>
      <c r="Q61" s="17">
        <v>0</v>
      </c>
      <c r="R61" s="17"/>
      <c r="S61" s="49"/>
      <c r="T61" s="48"/>
    </row>
    <row r="62" spans="1:20" ht="9" customHeight="1" x14ac:dyDescent="0.15">
      <c r="A62" s="194" t="s">
        <v>37</v>
      </c>
      <c r="B62" s="195"/>
      <c r="C62" s="47">
        <v>1334592</v>
      </c>
      <c r="D62" s="46">
        <v>1354380</v>
      </c>
      <c r="E62" s="46">
        <v>1386432</v>
      </c>
      <c r="F62" s="46">
        <v>1418245</v>
      </c>
      <c r="G62" s="45">
        <v>1486687</v>
      </c>
      <c r="H62" s="44">
        <v>1480496</v>
      </c>
      <c r="I62" s="47">
        <v>1067100</v>
      </c>
      <c r="J62" s="46">
        <v>1087130</v>
      </c>
      <c r="K62" s="46">
        <v>1120845</v>
      </c>
      <c r="L62" s="46">
        <v>1163089</v>
      </c>
      <c r="M62" s="45">
        <v>1288298</v>
      </c>
      <c r="N62" s="44">
        <v>1311839</v>
      </c>
      <c r="O62" s="43">
        <v>79.957020572579481</v>
      </c>
      <c r="P62" s="16">
        <v>80.267723977022698</v>
      </c>
      <c r="Q62" s="16">
        <v>80.843849536075339</v>
      </c>
      <c r="R62" s="16">
        <v>82.009032289907609</v>
      </c>
      <c r="S62" s="42">
        <v>86.655630943164226</v>
      </c>
      <c r="T62" s="15">
        <v>88.608074591218084</v>
      </c>
    </row>
    <row r="63" spans="1:20" ht="9" customHeight="1" x14ac:dyDescent="0.15">
      <c r="A63" s="190" t="s">
        <v>36</v>
      </c>
      <c r="B63" s="191"/>
      <c r="C63" s="41">
        <v>1143886</v>
      </c>
      <c r="D63" s="40">
        <v>1226938</v>
      </c>
      <c r="E63" s="40">
        <v>1232973</v>
      </c>
      <c r="F63" s="40">
        <v>1248386</v>
      </c>
      <c r="G63" s="39">
        <v>1299029</v>
      </c>
      <c r="H63" s="38">
        <v>1290349</v>
      </c>
      <c r="I63" s="41">
        <v>968051</v>
      </c>
      <c r="J63" s="40">
        <v>989176</v>
      </c>
      <c r="K63" s="40">
        <v>999662</v>
      </c>
      <c r="L63" s="40">
        <v>1015232</v>
      </c>
      <c r="M63" s="39">
        <v>1041542</v>
      </c>
      <c r="N63" s="38">
        <v>1092258</v>
      </c>
      <c r="O63" s="37">
        <v>84.628275894625858</v>
      </c>
      <c r="P63" s="14">
        <v>80.62151469756418</v>
      </c>
      <c r="Q63" s="14">
        <v>81.077363413472952</v>
      </c>
      <c r="R63" s="14">
        <v>81.323564987111368</v>
      </c>
      <c r="S63" s="36">
        <v>80.178502558449424</v>
      </c>
      <c r="T63" s="13">
        <v>84.648261826839104</v>
      </c>
    </row>
    <row r="64" spans="1:20" ht="9" customHeight="1" x14ac:dyDescent="0.15">
      <c r="A64" s="190" t="s">
        <v>35</v>
      </c>
      <c r="B64" s="191"/>
      <c r="C64" s="41">
        <v>2038799</v>
      </c>
      <c r="D64" s="40">
        <v>2079402</v>
      </c>
      <c r="E64" s="40">
        <v>2108691</v>
      </c>
      <c r="F64" s="40">
        <v>2119885</v>
      </c>
      <c r="G64" s="39">
        <v>2142668</v>
      </c>
      <c r="H64" s="38">
        <v>2150858</v>
      </c>
      <c r="I64" s="41">
        <v>1629252</v>
      </c>
      <c r="J64" s="40">
        <v>1652278</v>
      </c>
      <c r="K64" s="40">
        <v>1677461</v>
      </c>
      <c r="L64" s="40">
        <v>1705649</v>
      </c>
      <c r="M64" s="39">
        <v>1834883</v>
      </c>
      <c r="N64" s="38">
        <v>1891102</v>
      </c>
      <c r="O64" s="37">
        <v>79.912340549509793</v>
      </c>
      <c r="P64" s="14">
        <v>79.459286852662444</v>
      </c>
      <c r="Q64" s="14">
        <v>79.549872408996862</v>
      </c>
      <c r="R64" s="14">
        <v>80.459506058111643</v>
      </c>
      <c r="S64" s="36">
        <v>85.635432087472253</v>
      </c>
      <c r="T64" s="13">
        <v>87.923145089076087</v>
      </c>
    </row>
    <row r="65" spans="1:22" ht="9" customHeight="1" x14ac:dyDescent="0.15">
      <c r="A65" s="190" t="s">
        <v>34</v>
      </c>
      <c r="B65" s="191"/>
      <c r="C65" s="41">
        <v>878981</v>
      </c>
      <c r="D65" s="40">
        <v>899718</v>
      </c>
      <c r="E65" s="40">
        <v>916889</v>
      </c>
      <c r="F65" s="40">
        <v>920015</v>
      </c>
      <c r="G65" s="39">
        <v>948867</v>
      </c>
      <c r="H65" s="38">
        <v>952024</v>
      </c>
      <c r="I65" s="41">
        <v>690928</v>
      </c>
      <c r="J65" s="40">
        <v>709356</v>
      </c>
      <c r="K65" s="40">
        <v>730887</v>
      </c>
      <c r="L65" s="40">
        <v>748235</v>
      </c>
      <c r="M65" s="39">
        <v>775467</v>
      </c>
      <c r="N65" s="38">
        <v>786292</v>
      </c>
      <c r="O65" s="37">
        <v>78.605567128299697</v>
      </c>
      <c r="P65" s="14">
        <v>78.842037171647121</v>
      </c>
      <c r="Q65" s="14">
        <v>79.713793054557314</v>
      </c>
      <c r="R65" s="14">
        <v>81.328565295131057</v>
      </c>
      <c r="S65" s="36">
        <v>81.725573763235531</v>
      </c>
      <c r="T65" s="13">
        <v>82.591615337428465</v>
      </c>
    </row>
    <row r="66" spans="1:22" ht="9" customHeight="1" x14ac:dyDescent="0.15">
      <c r="A66" s="190" t="s">
        <v>33</v>
      </c>
      <c r="B66" s="191"/>
      <c r="C66" s="41">
        <v>2597972</v>
      </c>
      <c r="D66" s="40">
        <v>2672124</v>
      </c>
      <c r="E66" s="40">
        <v>2740550</v>
      </c>
      <c r="F66" s="40">
        <v>2787253</v>
      </c>
      <c r="G66" s="39">
        <v>2884060</v>
      </c>
      <c r="H66" s="38">
        <v>2910420</v>
      </c>
      <c r="I66" s="41">
        <v>2136021</v>
      </c>
      <c r="J66" s="40">
        <v>2215025</v>
      </c>
      <c r="K66" s="40">
        <v>2306715</v>
      </c>
      <c r="L66" s="40">
        <v>2366418</v>
      </c>
      <c r="M66" s="39">
        <v>2423875</v>
      </c>
      <c r="N66" s="38">
        <v>2506208</v>
      </c>
      <c r="O66" s="37">
        <v>82.218784498062334</v>
      </c>
      <c r="P66" s="14">
        <v>82.893795347820685</v>
      </c>
      <c r="Q66" s="14">
        <v>84.169783437631125</v>
      </c>
      <c r="R66" s="14">
        <v>84.901442387899479</v>
      </c>
      <c r="S66" s="36">
        <v>84.043847908850722</v>
      </c>
      <c r="T66" s="13">
        <v>86.111557782038332</v>
      </c>
    </row>
    <row r="67" spans="1:22" ht="9" customHeight="1" x14ac:dyDescent="0.15">
      <c r="A67" s="190" t="s">
        <v>32</v>
      </c>
      <c r="B67" s="191"/>
      <c r="C67" s="41">
        <v>640190</v>
      </c>
      <c r="D67" s="40">
        <v>663878</v>
      </c>
      <c r="E67" s="40">
        <v>670228</v>
      </c>
      <c r="F67" s="40">
        <v>674110</v>
      </c>
      <c r="G67" s="39">
        <v>693253</v>
      </c>
      <c r="H67" s="38">
        <v>704285</v>
      </c>
      <c r="I67" s="41">
        <v>534461</v>
      </c>
      <c r="J67" s="40">
        <v>558794</v>
      </c>
      <c r="K67" s="40">
        <v>571266</v>
      </c>
      <c r="L67" s="40">
        <v>586890</v>
      </c>
      <c r="M67" s="39">
        <v>621440</v>
      </c>
      <c r="N67" s="38">
        <v>648795</v>
      </c>
      <c r="O67" s="37">
        <v>83.48474671581873</v>
      </c>
      <c r="P67" s="14">
        <v>84.171188079737547</v>
      </c>
      <c r="Q67" s="14">
        <v>85.234576890252271</v>
      </c>
      <c r="R67" s="14">
        <v>87.061458812360002</v>
      </c>
      <c r="S67" s="36">
        <v>89.641155537732971</v>
      </c>
      <c r="T67" s="13">
        <v>92.121087343901976</v>
      </c>
      <c r="V67" s="3"/>
    </row>
    <row r="68" spans="1:22" ht="9" customHeight="1" x14ac:dyDescent="0.15">
      <c r="A68" s="190" t="s">
        <v>31</v>
      </c>
      <c r="B68" s="191"/>
      <c r="C68" s="41">
        <v>967757</v>
      </c>
      <c r="D68" s="40">
        <v>978931</v>
      </c>
      <c r="E68" s="40">
        <v>992076</v>
      </c>
      <c r="F68" s="40">
        <v>1004325</v>
      </c>
      <c r="G68" s="39">
        <v>1035535</v>
      </c>
      <c r="H68" s="38">
        <v>1043964</v>
      </c>
      <c r="I68" s="41">
        <v>622144</v>
      </c>
      <c r="J68" s="40">
        <v>654256</v>
      </c>
      <c r="K68" s="40">
        <v>703984</v>
      </c>
      <c r="L68" s="40">
        <v>743984</v>
      </c>
      <c r="M68" s="39">
        <v>785872</v>
      </c>
      <c r="N68" s="38">
        <v>820998</v>
      </c>
      <c r="O68" s="37">
        <v>64.287212595723929</v>
      </c>
      <c r="P68" s="14">
        <v>66.833719639075682</v>
      </c>
      <c r="Q68" s="14">
        <v>70.960692527588606</v>
      </c>
      <c r="R68" s="14">
        <v>74.078012595524356</v>
      </c>
      <c r="S68" s="36">
        <v>75.890433447445034</v>
      </c>
      <c r="T68" s="13">
        <v>78.642366978171665</v>
      </c>
    </row>
    <row r="69" spans="1:22" ht="9" customHeight="1" x14ac:dyDescent="0.15">
      <c r="A69" s="190" t="s">
        <v>30</v>
      </c>
      <c r="B69" s="191"/>
      <c r="C69" s="41">
        <v>582566</v>
      </c>
      <c r="D69" s="40">
        <v>591567</v>
      </c>
      <c r="E69" s="40">
        <v>600250</v>
      </c>
      <c r="F69" s="40">
        <v>611548</v>
      </c>
      <c r="G69" s="39">
        <v>611653</v>
      </c>
      <c r="H69" s="38">
        <v>640250</v>
      </c>
      <c r="I69" s="41">
        <v>358638</v>
      </c>
      <c r="J69" s="40">
        <v>386379</v>
      </c>
      <c r="K69" s="40">
        <v>431331</v>
      </c>
      <c r="L69" s="40">
        <v>462728</v>
      </c>
      <c r="M69" s="39">
        <v>492380</v>
      </c>
      <c r="N69" s="38">
        <v>521691</v>
      </c>
      <c r="O69" s="37">
        <v>61.561780124483747</v>
      </c>
      <c r="P69" s="14">
        <v>65.314495230464175</v>
      </c>
      <c r="Q69" s="14">
        <v>71.858558933777601</v>
      </c>
      <c r="R69" s="14">
        <v>75.665033652305297</v>
      </c>
      <c r="S69" s="36">
        <v>80.499891278224737</v>
      </c>
      <c r="T69" s="13">
        <v>81.482389691526748</v>
      </c>
    </row>
    <row r="70" spans="1:22" ht="9" customHeight="1" x14ac:dyDescent="0.15">
      <c r="A70" s="190" t="s">
        <v>2</v>
      </c>
      <c r="B70" s="191"/>
      <c r="C70" s="41">
        <v>530298</v>
      </c>
      <c r="D70" s="40">
        <v>538463</v>
      </c>
      <c r="E70" s="40">
        <v>545437</v>
      </c>
      <c r="F70" s="40">
        <v>552316</v>
      </c>
      <c r="G70" s="39">
        <v>570185</v>
      </c>
      <c r="H70" s="38">
        <v>580705</v>
      </c>
      <c r="I70" s="41">
        <v>406309</v>
      </c>
      <c r="J70" s="40">
        <v>430494</v>
      </c>
      <c r="K70" s="40">
        <v>455611</v>
      </c>
      <c r="L70" s="40">
        <v>474882</v>
      </c>
      <c r="M70" s="39">
        <v>498116</v>
      </c>
      <c r="N70" s="38">
        <v>526692</v>
      </c>
      <c r="O70" s="37">
        <v>76.618995357327393</v>
      </c>
      <c r="P70" s="14">
        <v>79.948668710756351</v>
      </c>
      <c r="Q70" s="14">
        <v>83.531370259076667</v>
      </c>
      <c r="R70" s="14">
        <v>85.980127318419164</v>
      </c>
      <c r="S70" s="36">
        <v>87.360418109911691</v>
      </c>
      <c r="T70" s="13">
        <v>90.698719659723963</v>
      </c>
    </row>
    <row r="71" spans="1:22" s="4" customFormat="1" ht="9" customHeight="1" x14ac:dyDescent="0.15">
      <c r="A71" s="192" t="s">
        <v>29</v>
      </c>
      <c r="B71" s="193"/>
      <c r="C71" s="35">
        <v>452790</v>
      </c>
      <c r="D71" s="34">
        <v>463366</v>
      </c>
      <c r="E71" s="34">
        <v>477007</v>
      </c>
      <c r="F71" s="34">
        <v>485517</v>
      </c>
      <c r="G71" s="33">
        <v>502085</v>
      </c>
      <c r="H71" s="32">
        <v>512515</v>
      </c>
      <c r="I71" s="35">
        <v>308164</v>
      </c>
      <c r="J71" s="34">
        <v>322755</v>
      </c>
      <c r="K71" s="34">
        <v>356881</v>
      </c>
      <c r="L71" s="34">
        <v>378037</v>
      </c>
      <c r="M71" s="33">
        <v>395627</v>
      </c>
      <c r="N71" s="32">
        <v>417423</v>
      </c>
      <c r="O71" s="31">
        <v>68.058923562799535</v>
      </c>
      <c r="P71" s="12">
        <v>69.654441629295206</v>
      </c>
      <c r="Q71" s="12">
        <v>74.816721767185811</v>
      </c>
      <c r="R71" s="12">
        <v>77.862773085185495</v>
      </c>
      <c r="S71" s="30">
        <v>78.796817271975854</v>
      </c>
      <c r="T71" s="11">
        <v>81.446006458347568</v>
      </c>
    </row>
    <row r="72" spans="1:22" s="4" customFormat="1" ht="9.6" customHeight="1" x14ac:dyDescent="0.15">
      <c r="A72" s="97" t="s">
        <v>0</v>
      </c>
      <c r="B72" s="98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2"/>
      <c r="R72" s="1"/>
      <c r="S72" s="1"/>
      <c r="T72" s="1"/>
    </row>
    <row r="73" spans="1:22" x14ac:dyDescent="0.15"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</row>
    <row r="74" spans="1:22" ht="12" x14ac:dyDescent="0.15">
      <c r="A74" s="99"/>
      <c r="B74" s="4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</row>
    <row r="77" spans="1:22" ht="12" x14ac:dyDescent="0.15">
      <c r="A77" s="99"/>
      <c r="B77" s="4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7"/>
      <c r="Q77" s="7"/>
      <c r="R77" s="7"/>
      <c r="S77" s="7"/>
      <c r="T77" s="7"/>
    </row>
  </sheetData>
  <mergeCells count="28">
    <mergeCell ref="A5:A10"/>
    <mergeCell ref="A3:A4"/>
    <mergeCell ref="B3:B4"/>
    <mergeCell ref="C3:H3"/>
    <mergeCell ref="I3:N3"/>
    <mergeCell ref="O3:T3"/>
    <mergeCell ref="A60:B60"/>
    <mergeCell ref="A11:A13"/>
    <mergeCell ref="A14:A20"/>
    <mergeCell ref="A21:B21"/>
    <mergeCell ref="A27:A31"/>
    <mergeCell ref="A32:A34"/>
    <mergeCell ref="A35:A38"/>
    <mergeCell ref="A39:A42"/>
    <mergeCell ref="A43:A47"/>
    <mergeCell ref="A48:A53"/>
    <mergeCell ref="A54:A57"/>
    <mergeCell ref="A59:B59"/>
    <mergeCell ref="A68:B68"/>
    <mergeCell ref="A69:B69"/>
    <mergeCell ref="A70:B70"/>
    <mergeCell ref="A71:B71"/>
    <mergeCell ref="A62:B62"/>
    <mergeCell ref="A63:B63"/>
    <mergeCell ref="A64:B64"/>
    <mergeCell ref="A65:B65"/>
    <mergeCell ref="A66:B66"/>
    <mergeCell ref="A67:B67"/>
  </mergeCells>
  <phoneticPr fontId="7" type="noConversion"/>
  <printOptions horizontalCentered="1"/>
  <pageMargins left="1.1811023622047245" right="1.1811023622047245" top="1.3779527559055118" bottom="1.3779527559055118" header="0" footer="0.98425196850393704"/>
  <pageSetup paperSize="9" scale="87" firstPageNumber="142" fitToWidth="2" orientation="portrait" useFirstPageNumber="1" horizontalDpi="300" verticalDpi="300" r:id="rId1"/>
  <headerFooter alignWithMargins="0">
    <oddFooter>&amp;C&amp;"가을체,보통"&amp;7&amp;P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50FDE-CD06-4A17-B8E6-A1E421D1E259}">
  <sheetPr codeName="Sheet66">
    <pageSetUpPr fitToPage="1"/>
  </sheetPr>
  <dimension ref="A1:X93"/>
  <sheetViews>
    <sheetView showZeros="0" zoomScaleNormal="100" workbookViewId="0">
      <selection activeCell="AB1" sqref="AB1:AF65536"/>
    </sheetView>
  </sheetViews>
  <sheetFormatPr defaultColWidth="8.77734375" defaultRowHeight="9" x14ac:dyDescent="0.15"/>
  <cols>
    <col min="1" max="1" width="8.33203125" style="3" customWidth="1"/>
    <col min="2" max="2" width="8.44140625" style="3" customWidth="1"/>
    <col min="3" max="8" width="6.44140625" style="3" customWidth="1"/>
    <col min="9" max="14" width="5.44140625" style="3" customWidth="1"/>
    <col min="15" max="20" width="3.21875" style="3" customWidth="1"/>
    <col min="21" max="21" width="3.44140625" style="1" customWidth="1"/>
    <col min="22" max="24" width="3.6640625" style="1" customWidth="1"/>
    <col min="25" max="256" width="8.77734375" style="1"/>
    <col min="257" max="257" width="8.33203125" style="1" customWidth="1"/>
    <col min="258" max="258" width="8.44140625" style="1" customWidth="1"/>
    <col min="259" max="264" width="6.44140625" style="1" customWidth="1"/>
    <col min="265" max="270" width="5.44140625" style="1" customWidth="1"/>
    <col min="271" max="276" width="3.21875" style="1" customWidth="1"/>
    <col min="277" max="277" width="3.44140625" style="1" customWidth="1"/>
    <col min="278" max="280" width="3.6640625" style="1" customWidth="1"/>
    <col min="281" max="512" width="8.77734375" style="1"/>
    <col min="513" max="513" width="8.33203125" style="1" customWidth="1"/>
    <col min="514" max="514" width="8.44140625" style="1" customWidth="1"/>
    <col min="515" max="520" width="6.44140625" style="1" customWidth="1"/>
    <col min="521" max="526" width="5.44140625" style="1" customWidth="1"/>
    <col min="527" max="532" width="3.21875" style="1" customWidth="1"/>
    <col min="533" max="533" width="3.44140625" style="1" customWidth="1"/>
    <col min="534" max="536" width="3.6640625" style="1" customWidth="1"/>
    <col min="537" max="768" width="8.77734375" style="1"/>
    <col min="769" max="769" width="8.33203125" style="1" customWidth="1"/>
    <col min="770" max="770" width="8.44140625" style="1" customWidth="1"/>
    <col min="771" max="776" width="6.44140625" style="1" customWidth="1"/>
    <col min="777" max="782" width="5.44140625" style="1" customWidth="1"/>
    <col min="783" max="788" width="3.21875" style="1" customWidth="1"/>
    <col min="789" max="789" width="3.44140625" style="1" customWidth="1"/>
    <col min="790" max="792" width="3.6640625" style="1" customWidth="1"/>
    <col min="793" max="1024" width="8.77734375" style="1"/>
    <col min="1025" max="1025" width="8.33203125" style="1" customWidth="1"/>
    <col min="1026" max="1026" width="8.44140625" style="1" customWidth="1"/>
    <col min="1027" max="1032" width="6.44140625" style="1" customWidth="1"/>
    <col min="1033" max="1038" width="5.44140625" style="1" customWidth="1"/>
    <col min="1039" max="1044" width="3.21875" style="1" customWidth="1"/>
    <col min="1045" max="1045" width="3.44140625" style="1" customWidth="1"/>
    <col min="1046" max="1048" width="3.6640625" style="1" customWidth="1"/>
    <col min="1049" max="1280" width="8.77734375" style="1"/>
    <col min="1281" max="1281" width="8.33203125" style="1" customWidth="1"/>
    <col min="1282" max="1282" width="8.44140625" style="1" customWidth="1"/>
    <col min="1283" max="1288" width="6.44140625" style="1" customWidth="1"/>
    <col min="1289" max="1294" width="5.44140625" style="1" customWidth="1"/>
    <col min="1295" max="1300" width="3.21875" style="1" customWidth="1"/>
    <col min="1301" max="1301" width="3.44140625" style="1" customWidth="1"/>
    <col min="1302" max="1304" width="3.6640625" style="1" customWidth="1"/>
    <col min="1305" max="1536" width="8.77734375" style="1"/>
    <col min="1537" max="1537" width="8.33203125" style="1" customWidth="1"/>
    <col min="1538" max="1538" width="8.44140625" style="1" customWidth="1"/>
    <col min="1539" max="1544" width="6.44140625" style="1" customWidth="1"/>
    <col min="1545" max="1550" width="5.44140625" style="1" customWidth="1"/>
    <col min="1551" max="1556" width="3.21875" style="1" customWidth="1"/>
    <col min="1557" max="1557" width="3.44140625" style="1" customWidth="1"/>
    <col min="1558" max="1560" width="3.6640625" style="1" customWidth="1"/>
    <col min="1561" max="1792" width="8.77734375" style="1"/>
    <col min="1793" max="1793" width="8.33203125" style="1" customWidth="1"/>
    <col min="1794" max="1794" width="8.44140625" style="1" customWidth="1"/>
    <col min="1795" max="1800" width="6.44140625" style="1" customWidth="1"/>
    <col min="1801" max="1806" width="5.44140625" style="1" customWidth="1"/>
    <col min="1807" max="1812" width="3.21875" style="1" customWidth="1"/>
    <col min="1813" max="1813" width="3.44140625" style="1" customWidth="1"/>
    <col min="1814" max="1816" width="3.6640625" style="1" customWidth="1"/>
    <col min="1817" max="2048" width="8.77734375" style="1"/>
    <col min="2049" max="2049" width="8.33203125" style="1" customWidth="1"/>
    <col min="2050" max="2050" width="8.44140625" style="1" customWidth="1"/>
    <col min="2051" max="2056" width="6.44140625" style="1" customWidth="1"/>
    <col min="2057" max="2062" width="5.44140625" style="1" customWidth="1"/>
    <col min="2063" max="2068" width="3.21875" style="1" customWidth="1"/>
    <col min="2069" max="2069" width="3.44140625" style="1" customWidth="1"/>
    <col min="2070" max="2072" width="3.6640625" style="1" customWidth="1"/>
    <col min="2073" max="2304" width="8.77734375" style="1"/>
    <col min="2305" max="2305" width="8.33203125" style="1" customWidth="1"/>
    <col min="2306" max="2306" width="8.44140625" style="1" customWidth="1"/>
    <col min="2307" max="2312" width="6.44140625" style="1" customWidth="1"/>
    <col min="2313" max="2318" width="5.44140625" style="1" customWidth="1"/>
    <col min="2319" max="2324" width="3.21875" style="1" customWidth="1"/>
    <col min="2325" max="2325" width="3.44140625" style="1" customWidth="1"/>
    <col min="2326" max="2328" width="3.6640625" style="1" customWidth="1"/>
    <col min="2329" max="2560" width="8.77734375" style="1"/>
    <col min="2561" max="2561" width="8.33203125" style="1" customWidth="1"/>
    <col min="2562" max="2562" width="8.44140625" style="1" customWidth="1"/>
    <col min="2563" max="2568" width="6.44140625" style="1" customWidth="1"/>
    <col min="2569" max="2574" width="5.44140625" style="1" customWidth="1"/>
    <col min="2575" max="2580" width="3.21875" style="1" customWidth="1"/>
    <col min="2581" max="2581" width="3.44140625" style="1" customWidth="1"/>
    <col min="2582" max="2584" width="3.6640625" style="1" customWidth="1"/>
    <col min="2585" max="2816" width="8.77734375" style="1"/>
    <col min="2817" max="2817" width="8.33203125" style="1" customWidth="1"/>
    <col min="2818" max="2818" width="8.44140625" style="1" customWidth="1"/>
    <col min="2819" max="2824" width="6.44140625" style="1" customWidth="1"/>
    <col min="2825" max="2830" width="5.44140625" style="1" customWidth="1"/>
    <col min="2831" max="2836" width="3.21875" style="1" customWidth="1"/>
    <col min="2837" max="2837" width="3.44140625" style="1" customWidth="1"/>
    <col min="2838" max="2840" width="3.6640625" style="1" customWidth="1"/>
    <col min="2841" max="3072" width="8.77734375" style="1"/>
    <col min="3073" max="3073" width="8.33203125" style="1" customWidth="1"/>
    <col min="3074" max="3074" width="8.44140625" style="1" customWidth="1"/>
    <col min="3075" max="3080" width="6.44140625" style="1" customWidth="1"/>
    <col min="3081" max="3086" width="5.44140625" style="1" customWidth="1"/>
    <col min="3087" max="3092" width="3.21875" style="1" customWidth="1"/>
    <col min="3093" max="3093" width="3.44140625" style="1" customWidth="1"/>
    <col min="3094" max="3096" width="3.6640625" style="1" customWidth="1"/>
    <col min="3097" max="3328" width="8.77734375" style="1"/>
    <col min="3329" max="3329" width="8.33203125" style="1" customWidth="1"/>
    <col min="3330" max="3330" width="8.44140625" style="1" customWidth="1"/>
    <col min="3331" max="3336" width="6.44140625" style="1" customWidth="1"/>
    <col min="3337" max="3342" width="5.44140625" style="1" customWidth="1"/>
    <col min="3343" max="3348" width="3.21875" style="1" customWidth="1"/>
    <col min="3349" max="3349" width="3.44140625" style="1" customWidth="1"/>
    <col min="3350" max="3352" width="3.6640625" style="1" customWidth="1"/>
    <col min="3353" max="3584" width="8.77734375" style="1"/>
    <col min="3585" max="3585" width="8.33203125" style="1" customWidth="1"/>
    <col min="3586" max="3586" width="8.44140625" style="1" customWidth="1"/>
    <col min="3587" max="3592" width="6.44140625" style="1" customWidth="1"/>
    <col min="3593" max="3598" width="5.44140625" style="1" customWidth="1"/>
    <col min="3599" max="3604" width="3.21875" style="1" customWidth="1"/>
    <col min="3605" max="3605" width="3.44140625" style="1" customWidth="1"/>
    <col min="3606" max="3608" width="3.6640625" style="1" customWidth="1"/>
    <col min="3609" max="3840" width="8.77734375" style="1"/>
    <col min="3841" max="3841" width="8.33203125" style="1" customWidth="1"/>
    <col min="3842" max="3842" width="8.44140625" style="1" customWidth="1"/>
    <col min="3843" max="3848" width="6.44140625" style="1" customWidth="1"/>
    <col min="3849" max="3854" width="5.44140625" style="1" customWidth="1"/>
    <col min="3855" max="3860" width="3.21875" style="1" customWidth="1"/>
    <col min="3861" max="3861" width="3.44140625" style="1" customWidth="1"/>
    <col min="3862" max="3864" width="3.6640625" style="1" customWidth="1"/>
    <col min="3865" max="4096" width="8.77734375" style="1"/>
    <col min="4097" max="4097" width="8.33203125" style="1" customWidth="1"/>
    <col min="4098" max="4098" width="8.44140625" style="1" customWidth="1"/>
    <col min="4099" max="4104" width="6.44140625" style="1" customWidth="1"/>
    <col min="4105" max="4110" width="5.44140625" style="1" customWidth="1"/>
    <col min="4111" max="4116" width="3.21875" style="1" customWidth="1"/>
    <col min="4117" max="4117" width="3.44140625" style="1" customWidth="1"/>
    <col min="4118" max="4120" width="3.6640625" style="1" customWidth="1"/>
    <col min="4121" max="4352" width="8.77734375" style="1"/>
    <col min="4353" max="4353" width="8.33203125" style="1" customWidth="1"/>
    <col min="4354" max="4354" width="8.44140625" style="1" customWidth="1"/>
    <col min="4355" max="4360" width="6.44140625" style="1" customWidth="1"/>
    <col min="4361" max="4366" width="5.44140625" style="1" customWidth="1"/>
    <col min="4367" max="4372" width="3.21875" style="1" customWidth="1"/>
    <col min="4373" max="4373" width="3.44140625" style="1" customWidth="1"/>
    <col min="4374" max="4376" width="3.6640625" style="1" customWidth="1"/>
    <col min="4377" max="4608" width="8.77734375" style="1"/>
    <col min="4609" max="4609" width="8.33203125" style="1" customWidth="1"/>
    <col min="4610" max="4610" width="8.44140625" style="1" customWidth="1"/>
    <col min="4611" max="4616" width="6.44140625" style="1" customWidth="1"/>
    <col min="4617" max="4622" width="5.44140625" style="1" customWidth="1"/>
    <col min="4623" max="4628" width="3.21875" style="1" customWidth="1"/>
    <col min="4629" max="4629" width="3.44140625" style="1" customWidth="1"/>
    <col min="4630" max="4632" width="3.6640625" style="1" customWidth="1"/>
    <col min="4633" max="4864" width="8.77734375" style="1"/>
    <col min="4865" max="4865" width="8.33203125" style="1" customWidth="1"/>
    <col min="4866" max="4866" width="8.44140625" style="1" customWidth="1"/>
    <col min="4867" max="4872" width="6.44140625" style="1" customWidth="1"/>
    <col min="4873" max="4878" width="5.44140625" style="1" customWidth="1"/>
    <col min="4879" max="4884" width="3.21875" style="1" customWidth="1"/>
    <col min="4885" max="4885" width="3.44140625" style="1" customWidth="1"/>
    <col min="4886" max="4888" width="3.6640625" style="1" customWidth="1"/>
    <col min="4889" max="5120" width="8.77734375" style="1"/>
    <col min="5121" max="5121" width="8.33203125" style="1" customWidth="1"/>
    <col min="5122" max="5122" width="8.44140625" style="1" customWidth="1"/>
    <col min="5123" max="5128" width="6.44140625" style="1" customWidth="1"/>
    <col min="5129" max="5134" width="5.44140625" style="1" customWidth="1"/>
    <col min="5135" max="5140" width="3.21875" style="1" customWidth="1"/>
    <col min="5141" max="5141" width="3.44140625" style="1" customWidth="1"/>
    <col min="5142" max="5144" width="3.6640625" style="1" customWidth="1"/>
    <col min="5145" max="5376" width="8.77734375" style="1"/>
    <col min="5377" max="5377" width="8.33203125" style="1" customWidth="1"/>
    <col min="5378" max="5378" width="8.44140625" style="1" customWidth="1"/>
    <col min="5379" max="5384" width="6.44140625" style="1" customWidth="1"/>
    <col min="5385" max="5390" width="5.44140625" style="1" customWidth="1"/>
    <col min="5391" max="5396" width="3.21875" style="1" customWidth="1"/>
    <col min="5397" max="5397" width="3.44140625" style="1" customWidth="1"/>
    <col min="5398" max="5400" width="3.6640625" style="1" customWidth="1"/>
    <col min="5401" max="5632" width="8.77734375" style="1"/>
    <col min="5633" max="5633" width="8.33203125" style="1" customWidth="1"/>
    <col min="5634" max="5634" width="8.44140625" style="1" customWidth="1"/>
    <col min="5635" max="5640" width="6.44140625" style="1" customWidth="1"/>
    <col min="5641" max="5646" width="5.44140625" style="1" customWidth="1"/>
    <col min="5647" max="5652" width="3.21875" style="1" customWidth="1"/>
    <col min="5653" max="5653" width="3.44140625" style="1" customWidth="1"/>
    <col min="5654" max="5656" width="3.6640625" style="1" customWidth="1"/>
    <col min="5657" max="5888" width="8.77734375" style="1"/>
    <col min="5889" max="5889" width="8.33203125" style="1" customWidth="1"/>
    <col min="5890" max="5890" width="8.44140625" style="1" customWidth="1"/>
    <col min="5891" max="5896" width="6.44140625" style="1" customWidth="1"/>
    <col min="5897" max="5902" width="5.44140625" style="1" customWidth="1"/>
    <col min="5903" max="5908" width="3.21875" style="1" customWidth="1"/>
    <col min="5909" max="5909" width="3.44140625" style="1" customWidth="1"/>
    <col min="5910" max="5912" width="3.6640625" style="1" customWidth="1"/>
    <col min="5913" max="6144" width="8.77734375" style="1"/>
    <col min="6145" max="6145" width="8.33203125" style="1" customWidth="1"/>
    <col min="6146" max="6146" width="8.44140625" style="1" customWidth="1"/>
    <col min="6147" max="6152" width="6.44140625" style="1" customWidth="1"/>
    <col min="6153" max="6158" width="5.44140625" style="1" customWidth="1"/>
    <col min="6159" max="6164" width="3.21875" style="1" customWidth="1"/>
    <col min="6165" max="6165" width="3.44140625" style="1" customWidth="1"/>
    <col min="6166" max="6168" width="3.6640625" style="1" customWidth="1"/>
    <col min="6169" max="6400" width="8.77734375" style="1"/>
    <col min="6401" max="6401" width="8.33203125" style="1" customWidth="1"/>
    <col min="6402" max="6402" width="8.44140625" style="1" customWidth="1"/>
    <col min="6403" max="6408" width="6.44140625" style="1" customWidth="1"/>
    <col min="6409" max="6414" width="5.44140625" style="1" customWidth="1"/>
    <col min="6415" max="6420" width="3.21875" style="1" customWidth="1"/>
    <col min="6421" max="6421" width="3.44140625" style="1" customWidth="1"/>
    <col min="6422" max="6424" width="3.6640625" style="1" customWidth="1"/>
    <col min="6425" max="6656" width="8.77734375" style="1"/>
    <col min="6657" max="6657" width="8.33203125" style="1" customWidth="1"/>
    <col min="6658" max="6658" width="8.44140625" style="1" customWidth="1"/>
    <col min="6659" max="6664" width="6.44140625" style="1" customWidth="1"/>
    <col min="6665" max="6670" width="5.44140625" style="1" customWidth="1"/>
    <col min="6671" max="6676" width="3.21875" style="1" customWidth="1"/>
    <col min="6677" max="6677" width="3.44140625" style="1" customWidth="1"/>
    <col min="6678" max="6680" width="3.6640625" style="1" customWidth="1"/>
    <col min="6681" max="6912" width="8.77734375" style="1"/>
    <col min="6913" max="6913" width="8.33203125" style="1" customWidth="1"/>
    <col min="6914" max="6914" width="8.44140625" style="1" customWidth="1"/>
    <col min="6915" max="6920" width="6.44140625" style="1" customWidth="1"/>
    <col min="6921" max="6926" width="5.44140625" style="1" customWidth="1"/>
    <col min="6927" max="6932" width="3.21875" style="1" customWidth="1"/>
    <col min="6933" max="6933" width="3.44140625" style="1" customWidth="1"/>
    <col min="6934" max="6936" width="3.6640625" style="1" customWidth="1"/>
    <col min="6937" max="7168" width="8.77734375" style="1"/>
    <col min="7169" max="7169" width="8.33203125" style="1" customWidth="1"/>
    <col min="7170" max="7170" width="8.44140625" style="1" customWidth="1"/>
    <col min="7171" max="7176" width="6.44140625" style="1" customWidth="1"/>
    <col min="7177" max="7182" width="5.44140625" style="1" customWidth="1"/>
    <col min="7183" max="7188" width="3.21875" style="1" customWidth="1"/>
    <col min="7189" max="7189" width="3.44140625" style="1" customWidth="1"/>
    <col min="7190" max="7192" width="3.6640625" style="1" customWidth="1"/>
    <col min="7193" max="7424" width="8.77734375" style="1"/>
    <col min="7425" max="7425" width="8.33203125" style="1" customWidth="1"/>
    <col min="7426" max="7426" width="8.44140625" style="1" customWidth="1"/>
    <col min="7427" max="7432" width="6.44140625" style="1" customWidth="1"/>
    <col min="7433" max="7438" width="5.44140625" style="1" customWidth="1"/>
    <col min="7439" max="7444" width="3.21875" style="1" customWidth="1"/>
    <col min="7445" max="7445" width="3.44140625" style="1" customWidth="1"/>
    <col min="7446" max="7448" width="3.6640625" style="1" customWidth="1"/>
    <col min="7449" max="7680" width="8.77734375" style="1"/>
    <col min="7681" max="7681" width="8.33203125" style="1" customWidth="1"/>
    <col min="7682" max="7682" width="8.44140625" style="1" customWidth="1"/>
    <col min="7683" max="7688" width="6.44140625" style="1" customWidth="1"/>
    <col min="7689" max="7694" width="5.44140625" style="1" customWidth="1"/>
    <col min="7695" max="7700" width="3.21875" style="1" customWidth="1"/>
    <col min="7701" max="7701" width="3.44140625" style="1" customWidth="1"/>
    <col min="7702" max="7704" width="3.6640625" style="1" customWidth="1"/>
    <col min="7705" max="7936" width="8.77734375" style="1"/>
    <col min="7937" max="7937" width="8.33203125" style="1" customWidth="1"/>
    <col min="7938" max="7938" width="8.44140625" style="1" customWidth="1"/>
    <col min="7939" max="7944" width="6.44140625" style="1" customWidth="1"/>
    <col min="7945" max="7950" width="5.44140625" style="1" customWidth="1"/>
    <col min="7951" max="7956" width="3.21875" style="1" customWidth="1"/>
    <col min="7957" max="7957" width="3.44140625" style="1" customWidth="1"/>
    <col min="7958" max="7960" width="3.6640625" style="1" customWidth="1"/>
    <col min="7961" max="8192" width="8.77734375" style="1"/>
    <col min="8193" max="8193" width="8.33203125" style="1" customWidth="1"/>
    <col min="8194" max="8194" width="8.44140625" style="1" customWidth="1"/>
    <col min="8195" max="8200" width="6.44140625" style="1" customWidth="1"/>
    <col min="8201" max="8206" width="5.44140625" style="1" customWidth="1"/>
    <col min="8207" max="8212" width="3.21875" style="1" customWidth="1"/>
    <col min="8213" max="8213" width="3.44140625" style="1" customWidth="1"/>
    <col min="8214" max="8216" width="3.6640625" style="1" customWidth="1"/>
    <col min="8217" max="8448" width="8.77734375" style="1"/>
    <col min="8449" max="8449" width="8.33203125" style="1" customWidth="1"/>
    <col min="8450" max="8450" width="8.44140625" style="1" customWidth="1"/>
    <col min="8451" max="8456" width="6.44140625" style="1" customWidth="1"/>
    <col min="8457" max="8462" width="5.44140625" style="1" customWidth="1"/>
    <col min="8463" max="8468" width="3.21875" style="1" customWidth="1"/>
    <col min="8469" max="8469" width="3.44140625" style="1" customWidth="1"/>
    <col min="8470" max="8472" width="3.6640625" style="1" customWidth="1"/>
    <col min="8473" max="8704" width="8.77734375" style="1"/>
    <col min="8705" max="8705" width="8.33203125" style="1" customWidth="1"/>
    <col min="8706" max="8706" width="8.44140625" style="1" customWidth="1"/>
    <col min="8707" max="8712" width="6.44140625" style="1" customWidth="1"/>
    <col min="8713" max="8718" width="5.44140625" style="1" customWidth="1"/>
    <col min="8719" max="8724" width="3.21875" style="1" customWidth="1"/>
    <col min="8725" max="8725" width="3.44140625" style="1" customWidth="1"/>
    <col min="8726" max="8728" width="3.6640625" style="1" customWidth="1"/>
    <col min="8729" max="8960" width="8.77734375" style="1"/>
    <col min="8961" max="8961" width="8.33203125" style="1" customWidth="1"/>
    <col min="8962" max="8962" width="8.44140625" style="1" customWidth="1"/>
    <col min="8963" max="8968" width="6.44140625" style="1" customWidth="1"/>
    <col min="8969" max="8974" width="5.44140625" style="1" customWidth="1"/>
    <col min="8975" max="8980" width="3.21875" style="1" customWidth="1"/>
    <col min="8981" max="8981" width="3.44140625" style="1" customWidth="1"/>
    <col min="8982" max="8984" width="3.6640625" style="1" customWidth="1"/>
    <col min="8985" max="9216" width="8.77734375" style="1"/>
    <col min="9217" max="9217" width="8.33203125" style="1" customWidth="1"/>
    <col min="9218" max="9218" width="8.44140625" style="1" customWidth="1"/>
    <col min="9219" max="9224" width="6.44140625" style="1" customWidth="1"/>
    <col min="9225" max="9230" width="5.44140625" style="1" customWidth="1"/>
    <col min="9231" max="9236" width="3.21875" style="1" customWidth="1"/>
    <col min="9237" max="9237" width="3.44140625" style="1" customWidth="1"/>
    <col min="9238" max="9240" width="3.6640625" style="1" customWidth="1"/>
    <col min="9241" max="9472" width="8.77734375" style="1"/>
    <col min="9473" max="9473" width="8.33203125" style="1" customWidth="1"/>
    <col min="9474" max="9474" width="8.44140625" style="1" customWidth="1"/>
    <col min="9475" max="9480" width="6.44140625" style="1" customWidth="1"/>
    <col min="9481" max="9486" width="5.44140625" style="1" customWidth="1"/>
    <col min="9487" max="9492" width="3.21875" style="1" customWidth="1"/>
    <col min="9493" max="9493" width="3.44140625" style="1" customWidth="1"/>
    <col min="9494" max="9496" width="3.6640625" style="1" customWidth="1"/>
    <col min="9497" max="9728" width="8.77734375" style="1"/>
    <col min="9729" max="9729" width="8.33203125" style="1" customWidth="1"/>
    <col min="9730" max="9730" width="8.44140625" style="1" customWidth="1"/>
    <col min="9731" max="9736" width="6.44140625" style="1" customWidth="1"/>
    <col min="9737" max="9742" width="5.44140625" style="1" customWidth="1"/>
    <col min="9743" max="9748" width="3.21875" style="1" customWidth="1"/>
    <col min="9749" max="9749" width="3.44140625" style="1" customWidth="1"/>
    <col min="9750" max="9752" width="3.6640625" style="1" customWidth="1"/>
    <col min="9753" max="9984" width="8.77734375" style="1"/>
    <col min="9985" max="9985" width="8.33203125" style="1" customWidth="1"/>
    <col min="9986" max="9986" width="8.44140625" style="1" customWidth="1"/>
    <col min="9987" max="9992" width="6.44140625" style="1" customWidth="1"/>
    <col min="9993" max="9998" width="5.44140625" style="1" customWidth="1"/>
    <col min="9999" max="10004" width="3.21875" style="1" customWidth="1"/>
    <col min="10005" max="10005" width="3.44140625" style="1" customWidth="1"/>
    <col min="10006" max="10008" width="3.6640625" style="1" customWidth="1"/>
    <col min="10009" max="10240" width="8.77734375" style="1"/>
    <col min="10241" max="10241" width="8.33203125" style="1" customWidth="1"/>
    <col min="10242" max="10242" width="8.44140625" style="1" customWidth="1"/>
    <col min="10243" max="10248" width="6.44140625" style="1" customWidth="1"/>
    <col min="10249" max="10254" width="5.44140625" style="1" customWidth="1"/>
    <col min="10255" max="10260" width="3.21875" style="1" customWidth="1"/>
    <col min="10261" max="10261" width="3.44140625" style="1" customWidth="1"/>
    <col min="10262" max="10264" width="3.6640625" style="1" customWidth="1"/>
    <col min="10265" max="10496" width="8.77734375" style="1"/>
    <col min="10497" max="10497" width="8.33203125" style="1" customWidth="1"/>
    <col min="10498" max="10498" width="8.44140625" style="1" customWidth="1"/>
    <col min="10499" max="10504" width="6.44140625" style="1" customWidth="1"/>
    <col min="10505" max="10510" width="5.44140625" style="1" customWidth="1"/>
    <col min="10511" max="10516" width="3.21875" style="1" customWidth="1"/>
    <col min="10517" max="10517" width="3.44140625" style="1" customWidth="1"/>
    <col min="10518" max="10520" width="3.6640625" style="1" customWidth="1"/>
    <col min="10521" max="10752" width="8.77734375" style="1"/>
    <col min="10753" max="10753" width="8.33203125" style="1" customWidth="1"/>
    <col min="10754" max="10754" width="8.44140625" style="1" customWidth="1"/>
    <col min="10755" max="10760" width="6.44140625" style="1" customWidth="1"/>
    <col min="10761" max="10766" width="5.44140625" style="1" customWidth="1"/>
    <col min="10767" max="10772" width="3.21875" style="1" customWidth="1"/>
    <col min="10773" max="10773" width="3.44140625" style="1" customWidth="1"/>
    <col min="10774" max="10776" width="3.6640625" style="1" customWidth="1"/>
    <col min="10777" max="11008" width="8.77734375" style="1"/>
    <col min="11009" max="11009" width="8.33203125" style="1" customWidth="1"/>
    <col min="11010" max="11010" width="8.44140625" style="1" customWidth="1"/>
    <col min="11011" max="11016" width="6.44140625" style="1" customWidth="1"/>
    <col min="11017" max="11022" width="5.44140625" style="1" customWidth="1"/>
    <col min="11023" max="11028" width="3.21875" style="1" customWidth="1"/>
    <col min="11029" max="11029" width="3.44140625" style="1" customWidth="1"/>
    <col min="11030" max="11032" width="3.6640625" style="1" customWidth="1"/>
    <col min="11033" max="11264" width="8.77734375" style="1"/>
    <col min="11265" max="11265" width="8.33203125" style="1" customWidth="1"/>
    <col min="11266" max="11266" width="8.44140625" style="1" customWidth="1"/>
    <col min="11267" max="11272" width="6.44140625" style="1" customWidth="1"/>
    <col min="11273" max="11278" width="5.44140625" style="1" customWidth="1"/>
    <col min="11279" max="11284" width="3.21875" style="1" customWidth="1"/>
    <col min="11285" max="11285" width="3.44140625" style="1" customWidth="1"/>
    <col min="11286" max="11288" width="3.6640625" style="1" customWidth="1"/>
    <col min="11289" max="11520" width="8.77734375" style="1"/>
    <col min="11521" max="11521" width="8.33203125" style="1" customWidth="1"/>
    <col min="11522" max="11522" width="8.44140625" style="1" customWidth="1"/>
    <col min="11523" max="11528" width="6.44140625" style="1" customWidth="1"/>
    <col min="11529" max="11534" width="5.44140625" style="1" customWidth="1"/>
    <col min="11535" max="11540" width="3.21875" style="1" customWidth="1"/>
    <col min="11541" max="11541" width="3.44140625" style="1" customWidth="1"/>
    <col min="11542" max="11544" width="3.6640625" style="1" customWidth="1"/>
    <col min="11545" max="11776" width="8.77734375" style="1"/>
    <col min="11777" max="11777" width="8.33203125" style="1" customWidth="1"/>
    <col min="11778" max="11778" width="8.44140625" style="1" customWidth="1"/>
    <col min="11779" max="11784" width="6.44140625" style="1" customWidth="1"/>
    <col min="11785" max="11790" width="5.44140625" style="1" customWidth="1"/>
    <col min="11791" max="11796" width="3.21875" style="1" customWidth="1"/>
    <col min="11797" max="11797" width="3.44140625" style="1" customWidth="1"/>
    <col min="11798" max="11800" width="3.6640625" style="1" customWidth="1"/>
    <col min="11801" max="12032" width="8.77734375" style="1"/>
    <col min="12033" max="12033" width="8.33203125" style="1" customWidth="1"/>
    <col min="12034" max="12034" width="8.44140625" style="1" customWidth="1"/>
    <col min="12035" max="12040" width="6.44140625" style="1" customWidth="1"/>
    <col min="12041" max="12046" width="5.44140625" style="1" customWidth="1"/>
    <col min="12047" max="12052" width="3.21875" style="1" customWidth="1"/>
    <col min="12053" max="12053" width="3.44140625" style="1" customWidth="1"/>
    <col min="12054" max="12056" width="3.6640625" style="1" customWidth="1"/>
    <col min="12057" max="12288" width="8.77734375" style="1"/>
    <col min="12289" max="12289" width="8.33203125" style="1" customWidth="1"/>
    <col min="12290" max="12290" width="8.44140625" style="1" customWidth="1"/>
    <col min="12291" max="12296" width="6.44140625" style="1" customWidth="1"/>
    <col min="12297" max="12302" width="5.44140625" style="1" customWidth="1"/>
    <col min="12303" max="12308" width="3.21875" style="1" customWidth="1"/>
    <col min="12309" max="12309" width="3.44140625" style="1" customWidth="1"/>
    <col min="12310" max="12312" width="3.6640625" style="1" customWidth="1"/>
    <col min="12313" max="12544" width="8.77734375" style="1"/>
    <col min="12545" max="12545" width="8.33203125" style="1" customWidth="1"/>
    <col min="12546" max="12546" width="8.44140625" style="1" customWidth="1"/>
    <col min="12547" max="12552" width="6.44140625" style="1" customWidth="1"/>
    <col min="12553" max="12558" width="5.44140625" style="1" customWidth="1"/>
    <col min="12559" max="12564" width="3.21875" style="1" customWidth="1"/>
    <col min="12565" max="12565" width="3.44140625" style="1" customWidth="1"/>
    <col min="12566" max="12568" width="3.6640625" style="1" customWidth="1"/>
    <col min="12569" max="12800" width="8.77734375" style="1"/>
    <col min="12801" max="12801" width="8.33203125" style="1" customWidth="1"/>
    <col min="12802" max="12802" width="8.44140625" style="1" customWidth="1"/>
    <col min="12803" max="12808" width="6.44140625" style="1" customWidth="1"/>
    <col min="12809" max="12814" width="5.44140625" style="1" customWidth="1"/>
    <col min="12815" max="12820" width="3.21875" style="1" customWidth="1"/>
    <col min="12821" max="12821" width="3.44140625" style="1" customWidth="1"/>
    <col min="12822" max="12824" width="3.6640625" style="1" customWidth="1"/>
    <col min="12825" max="13056" width="8.77734375" style="1"/>
    <col min="13057" max="13057" width="8.33203125" style="1" customWidth="1"/>
    <col min="13058" max="13058" width="8.44140625" style="1" customWidth="1"/>
    <col min="13059" max="13064" width="6.44140625" style="1" customWidth="1"/>
    <col min="13065" max="13070" width="5.44140625" style="1" customWidth="1"/>
    <col min="13071" max="13076" width="3.21875" style="1" customWidth="1"/>
    <col min="13077" max="13077" width="3.44140625" style="1" customWidth="1"/>
    <col min="13078" max="13080" width="3.6640625" style="1" customWidth="1"/>
    <col min="13081" max="13312" width="8.77734375" style="1"/>
    <col min="13313" max="13313" width="8.33203125" style="1" customWidth="1"/>
    <col min="13314" max="13314" width="8.44140625" style="1" customWidth="1"/>
    <col min="13315" max="13320" width="6.44140625" style="1" customWidth="1"/>
    <col min="13321" max="13326" width="5.44140625" style="1" customWidth="1"/>
    <col min="13327" max="13332" width="3.21875" style="1" customWidth="1"/>
    <col min="13333" max="13333" width="3.44140625" style="1" customWidth="1"/>
    <col min="13334" max="13336" width="3.6640625" style="1" customWidth="1"/>
    <col min="13337" max="13568" width="8.77734375" style="1"/>
    <col min="13569" max="13569" width="8.33203125" style="1" customWidth="1"/>
    <col min="13570" max="13570" width="8.44140625" style="1" customWidth="1"/>
    <col min="13571" max="13576" width="6.44140625" style="1" customWidth="1"/>
    <col min="13577" max="13582" width="5.44140625" style="1" customWidth="1"/>
    <col min="13583" max="13588" width="3.21875" style="1" customWidth="1"/>
    <col min="13589" max="13589" width="3.44140625" style="1" customWidth="1"/>
    <col min="13590" max="13592" width="3.6640625" style="1" customWidth="1"/>
    <col min="13593" max="13824" width="8.77734375" style="1"/>
    <col min="13825" max="13825" width="8.33203125" style="1" customWidth="1"/>
    <col min="13826" max="13826" width="8.44140625" style="1" customWidth="1"/>
    <col min="13827" max="13832" width="6.44140625" style="1" customWidth="1"/>
    <col min="13833" max="13838" width="5.44140625" style="1" customWidth="1"/>
    <col min="13839" max="13844" width="3.21875" style="1" customWidth="1"/>
    <col min="13845" max="13845" width="3.44140625" style="1" customWidth="1"/>
    <col min="13846" max="13848" width="3.6640625" style="1" customWidth="1"/>
    <col min="13849" max="14080" width="8.77734375" style="1"/>
    <col min="14081" max="14081" width="8.33203125" style="1" customWidth="1"/>
    <col min="14082" max="14082" width="8.44140625" style="1" customWidth="1"/>
    <col min="14083" max="14088" width="6.44140625" style="1" customWidth="1"/>
    <col min="14089" max="14094" width="5.44140625" style="1" customWidth="1"/>
    <col min="14095" max="14100" width="3.21875" style="1" customWidth="1"/>
    <col min="14101" max="14101" width="3.44140625" style="1" customWidth="1"/>
    <col min="14102" max="14104" width="3.6640625" style="1" customWidth="1"/>
    <col min="14105" max="14336" width="8.77734375" style="1"/>
    <col min="14337" max="14337" width="8.33203125" style="1" customWidth="1"/>
    <col min="14338" max="14338" width="8.44140625" style="1" customWidth="1"/>
    <col min="14339" max="14344" width="6.44140625" style="1" customWidth="1"/>
    <col min="14345" max="14350" width="5.44140625" style="1" customWidth="1"/>
    <col min="14351" max="14356" width="3.21875" style="1" customWidth="1"/>
    <col min="14357" max="14357" width="3.44140625" style="1" customWidth="1"/>
    <col min="14358" max="14360" width="3.6640625" style="1" customWidth="1"/>
    <col min="14361" max="14592" width="8.77734375" style="1"/>
    <col min="14593" max="14593" width="8.33203125" style="1" customWidth="1"/>
    <col min="14594" max="14594" width="8.44140625" style="1" customWidth="1"/>
    <col min="14595" max="14600" width="6.44140625" style="1" customWidth="1"/>
    <col min="14601" max="14606" width="5.44140625" style="1" customWidth="1"/>
    <col min="14607" max="14612" width="3.21875" style="1" customWidth="1"/>
    <col min="14613" max="14613" width="3.44140625" style="1" customWidth="1"/>
    <col min="14614" max="14616" width="3.6640625" style="1" customWidth="1"/>
    <col min="14617" max="14848" width="8.77734375" style="1"/>
    <col min="14849" max="14849" width="8.33203125" style="1" customWidth="1"/>
    <col min="14850" max="14850" width="8.44140625" style="1" customWidth="1"/>
    <col min="14851" max="14856" width="6.44140625" style="1" customWidth="1"/>
    <col min="14857" max="14862" width="5.44140625" style="1" customWidth="1"/>
    <col min="14863" max="14868" width="3.21875" style="1" customWidth="1"/>
    <col min="14869" max="14869" width="3.44140625" style="1" customWidth="1"/>
    <col min="14870" max="14872" width="3.6640625" style="1" customWidth="1"/>
    <col min="14873" max="15104" width="8.77734375" style="1"/>
    <col min="15105" max="15105" width="8.33203125" style="1" customWidth="1"/>
    <col min="15106" max="15106" width="8.44140625" style="1" customWidth="1"/>
    <col min="15107" max="15112" width="6.44140625" style="1" customWidth="1"/>
    <col min="15113" max="15118" width="5.44140625" style="1" customWidth="1"/>
    <col min="15119" max="15124" width="3.21875" style="1" customWidth="1"/>
    <col min="15125" max="15125" width="3.44140625" style="1" customWidth="1"/>
    <col min="15126" max="15128" width="3.6640625" style="1" customWidth="1"/>
    <col min="15129" max="15360" width="8.77734375" style="1"/>
    <col min="15361" max="15361" width="8.33203125" style="1" customWidth="1"/>
    <col min="15362" max="15362" width="8.44140625" style="1" customWidth="1"/>
    <col min="15363" max="15368" width="6.44140625" style="1" customWidth="1"/>
    <col min="15369" max="15374" width="5.44140625" style="1" customWidth="1"/>
    <col min="15375" max="15380" width="3.21875" style="1" customWidth="1"/>
    <col min="15381" max="15381" width="3.44140625" style="1" customWidth="1"/>
    <col min="15382" max="15384" width="3.6640625" style="1" customWidth="1"/>
    <col min="15385" max="15616" width="8.77734375" style="1"/>
    <col min="15617" max="15617" width="8.33203125" style="1" customWidth="1"/>
    <col min="15618" max="15618" width="8.44140625" style="1" customWidth="1"/>
    <col min="15619" max="15624" width="6.44140625" style="1" customWidth="1"/>
    <col min="15625" max="15630" width="5.44140625" style="1" customWidth="1"/>
    <col min="15631" max="15636" width="3.21875" style="1" customWidth="1"/>
    <col min="15637" max="15637" width="3.44140625" style="1" customWidth="1"/>
    <col min="15638" max="15640" width="3.6640625" style="1" customWidth="1"/>
    <col min="15641" max="15872" width="8.77734375" style="1"/>
    <col min="15873" max="15873" width="8.33203125" style="1" customWidth="1"/>
    <col min="15874" max="15874" width="8.44140625" style="1" customWidth="1"/>
    <col min="15875" max="15880" width="6.44140625" style="1" customWidth="1"/>
    <col min="15881" max="15886" width="5.44140625" style="1" customWidth="1"/>
    <col min="15887" max="15892" width="3.21875" style="1" customWidth="1"/>
    <col min="15893" max="15893" width="3.44140625" style="1" customWidth="1"/>
    <col min="15894" max="15896" width="3.6640625" style="1" customWidth="1"/>
    <col min="15897" max="16128" width="8.77734375" style="1"/>
    <col min="16129" max="16129" width="8.33203125" style="1" customWidth="1"/>
    <col min="16130" max="16130" width="8.44140625" style="1" customWidth="1"/>
    <col min="16131" max="16136" width="6.44140625" style="1" customWidth="1"/>
    <col min="16137" max="16142" width="5.44140625" style="1" customWidth="1"/>
    <col min="16143" max="16148" width="3.21875" style="1" customWidth="1"/>
    <col min="16149" max="16149" width="3.44140625" style="1" customWidth="1"/>
    <col min="16150" max="16152" width="3.6640625" style="1" customWidth="1"/>
    <col min="16153" max="16384" width="8.77734375" style="1"/>
  </cols>
  <sheetData>
    <row r="1" spans="1:24" ht="15" customHeight="1" x14ac:dyDescent="0.15"/>
    <row r="2" spans="1:24" ht="15" customHeight="1" x14ac:dyDescent="0.15">
      <c r="A2" s="100" t="s">
        <v>120</v>
      </c>
      <c r="B2" s="101"/>
      <c r="O2" s="119"/>
      <c r="P2" s="119"/>
      <c r="Q2" s="119"/>
      <c r="R2" s="119"/>
      <c r="S2" s="119"/>
      <c r="T2" s="119"/>
    </row>
    <row r="3" spans="1:24" s="5" customFormat="1" ht="12" customHeight="1" x14ac:dyDescent="0.15">
      <c r="A3" s="204" t="s">
        <v>68</v>
      </c>
      <c r="B3" s="206" t="s">
        <v>67</v>
      </c>
      <c r="C3" s="211" t="s">
        <v>78</v>
      </c>
      <c r="D3" s="212"/>
      <c r="E3" s="212"/>
      <c r="F3" s="212"/>
      <c r="G3" s="213"/>
      <c r="H3" s="213"/>
      <c r="I3" s="211" t="s">
        <v>73</v>
      </c>
      <c r="J3" s="212"/>
      <c r="K3" s="212"/>
      <c r="L3" s="212"/>
      <c r="M3" s="213"/>
      <c r="N3" s="213"/>
      <c r="O3" s="219" t="s">
        <v>74</v>
      </c>
      <c r="P3" s="220"/>
      <c r="Q3" s="220"/>
      <c r="R3" s="220"/>
      <c r="S3" s="220"/>
      <c r="T3" s="221"/>
    </row>
    <row r="4" spans="1:24" s="5" customFormat="1" ht="12" customHeight="1" x14ac:dyDescent="0.15">
      <c r="A4" s="205"/>
      <c r="B4" s="207"/>
      <c r="C4" s="120">
        <v>2012</v>
      </c>
      <c r="D4" s="121">
        <v>2013</v>
      </c>
      <c r="E4" s="121">
        <v>2014</v>
      </c>
      <c r="F4" s="121">
        <v>2015</v>
      </c>
      <c r="G4" s="105">
        <v>2016</v>
      </c>
      <c r="H4" s="105">
        <v>2017</v>
      </c>
      <c r="I4" s="120">
        <v>2012</v>
      </c>
      <c r="J4" s="121">
        <v>2013</v>
      </c>
      <c r="K4" s="121">
        <v>2014</v>
      </c>
      <c r="L4" s="121">
        <v>2015</v>
      </c>
      <c r="M4" s="105">
        <v>2016</v>
      </c>
      <c r="N4" s="105">
        <v>2017</v>
      </c>
      <c r="O4" s="120">
        <v>2012</v>
      </c>
      <c r="P4" s="121">
        <v>2013</v>
      </c>
      <c r="Q4" s="121">
        <v>2014</v>
      </c>
      <c r="R4" s="121">
        <v>2015</v>
      </c>
      <c r="S4" s="105">
        <v>2016</v>
      </c>
      <c r="T4" s="106">
        <v>2017</v>
      </c>
    </row>
    <row r="5" spans="1:24" s="5" customFormat="1" ht="8.4499999999999993" customHeight="1" x14ac:dyDescent="0.15">
      <c r="A5" s="198" t="s">
        <v>63</v>
      </c>
      <c r="B5" s="108" t="s">
        <v>60</v>
      </c>
      <c r="C5" s="41">
        <v>773502</v>
      </c>
      <c r="D5" s="40">
        <v>774372</v>
      </c>
      <c r="E5" s="40">
        <v>782547</v>
      </c>
      <c r="F5" s="40">
        <v>777070</v>
      </c>
      <c r="G5" s="39">
        <v>773279</v>
      </c>
      <c r="H5" s="39">
        <v>776511</v>
      </c>
      <c r="I5" s="41">
        <v>736286</v>
      </c>
      <c r="J5" s="40">
        <v>755394</v>
      </c>
      <c r="K5" s="40">
        <v>738780</v>
      </c>
      <c r="L5" s="40">
        <v>734026</v>
      </c>
      <c r="M5" s="39">
        <v>736274</v>
      </c>
      <c r="N5" s="39">
        <v>740630</v>
      </c>
      <c r="O5" s="37">
        <v>95.188635582067022</v>
      </c>
      <c r="P5" s="14">
        <v>97.549239900203006</v>
      </c>
      <c r="Q5" s="14">
        <v>94.407109093766891</v>
      </c>
      <c r="R5" s="14">
        <v>94.460730693502512</v>
      </c>
      <c r="S5" s="36">
        <v>95.214534469447642</v>
      </c>
      <c r="T5" s="13">
        <v>95.379202612712504</v>
      </c>
      <c r="V5" s="6"/>
      <c r="W5" s="6"/>
      <c r="X5" s="91"/>
    </row>
    <row r="6" spans="1:24" s="5" customFormat="1" ht="8.4499999999999993" customHeight="1" x14ac:dyDescent="0.15">
      <c r="A6" s="201"/>
      <c r="B6" s="109" t="s">
        <v>59</v>
      </c>
      <c r="C6" s="41">
        <v>956445</v>
      </c>
      <c r="D6" s="40">
        <v>918120</v>
      </c>
      <c r="E6" s="40">
        <v>921435</v>
      </c>
      <c r="F6" s="40">
        <v>915511</v>
      </c>
      <c r="G6" s="39">
        <v>916624</v>
      </c>
      <c r="H6" s="39">
        <v>928415</v>
      </c>
      <c r="I6" s="41">
        <v>869667</v>
      </c>
      <c r="J6" s="40">
        <v>884224</v>
      </c>
      <c r="K6" s="40">
        <v>884175</v>
      </c>
      <c r="L6" s="40">
        <v>907480</v>
      </c>
      <c r="M6" s="39">
        <v>939632</v>
      </c>
      <c r="N6" s="39">
        <v>961912</v>
      </c>
      <c r="O6" s="37">
        <v>90.927026645546789</v>
      </c>
      <c r="P6" s="14">
        <v>96.308107872609256</v>
      </c>
      <c r="Q6" s="14">
        <v>95.956307281577097</v>
      </c>
      <c r="R6" s="14">
        <v>99.122784980191398</v>
      </c>
      <c r="S6" s="36">
        <v>102.51008046920003</v>
      </c>
      <c r="T6" s="13">
        <v>103.60797703613147</v>
      </c>
      <c r="V6" s="6"/>
      <c r="W6" s="6"/>
      <c r="X6" s="91"/>
    </row>
    <row r="7" spans="1:24" s="5" customFormat="1" ht="8.4499999999999993" customHeight="1" x14ac:dyDescent="0.15">
      <c r="A7" s="201"/>
      <c r="B7" s="109" t="s">
        <v>58</v>
      </c>
      <c r="C7" s="41">
        <v>1545723</v>
      </c>
      <c r="D7" s="40">
        <v>1553371</v>
      </c>
      <c r="E7" s="40">
        <v>1562394</v>
      </c>
      <c r="F7" s="40">
        <v>1569468</v>
      </c>
      <c r="G7" s="39">
        <v>1576273</v>
      </c>
      <c r="H7" s="39">
        <v>1592188</v>
      </c>
      <c r="I7" s="41">
        <v>1447786</v>
      </c>
      <c r="J7" s="40">
        <v>1476904</v>
      </c>
      <c r="K7" s="40">
        <v>1508946</v>
      </c>
      <c r="L7" s="40">
        <v>1525469</v>
      </c>
      <c r="M7" s="39">
        <v>1543168</v>
      </c>
      <c r="N7" s="39">
        <v>1564443</v>
      </c>
      <c r="O7" s="37">
        <v>93.664000600366307</v>
      </c>
      <c r="P7" s="14">
        <v>95.077351128609962</v>
      </c>
      <c r="Q7" s="14">
        <v>96.579095925867605</v>
      </c>
      <c r="R7" s="14">
        <v>97.196565970124908</v>
      </c>
      <c r="S7" s="36">
        <v>97.89979273894815</v>
      </c>
      <c r="T7" s="13">
        <v>98.257429399040817</v>
      </c>
      <c r="V7" s="6"/>
      <c r="W7" s="6"/>
      <c r="X7" s="91"/>
    </row>
    <row r="8" spans="1:24" s="5" customFormat="1" ht="8.4499999999999993" customHeight="1" x14ac:dyDescent="0.15">
      <c r="A8" s="201"/>
      <c r="B8" s="109" t="s">
        <v>28</v>
      </c>
      <c r="C8" s="41">
        <v>352104</v>
      </c>
      <c r="D8" s="40">
        <v>351324</v>
      </c>
      <c r="E8" s="40">
        <v>351950</v>
      </c>
      <c r="F8" s="40">
        <v>351400</v>
      </c>
      <c r="G8" s="39">
        <v>349562</v>
      </c>
      <c r="H8" s="39">
        <v>349723</v>
      </c>
      <c r="I8" s="41">
        <v>333150</v>
      </c>
      <c r="J8" s="40">
        <v>339724</v>
      </c>
      <c r="K8" s="40">
        <v>345159</v>
      </c>
      <c r="L8" s="40">
        <v>348578</v>
      </c>
      <c r="M8" s="39">
        <v>351539</v>
      </c>
      <c r="N8" s="39">
        <v>356047</v>
      </c>
      <c r="O8" s="37">
        <v>94.616931361188733</v>
      </c>
      <c r="P8" s="14">
        <v>96.698204506381572</v>
      </c>
      <c r="Q8" s="14">
        <v>98.070464554624238</v>
      </c>
      <c r="R8" s="14">
        <v>99.196926579396688</v>
      </c>
      <c r="S8" s="36">
        <v>100.56556490694068</v>
      </c>
      <c r="T8" s="13">
        <v>101.80828827386246</v>
      </c>
      <c r="V8" s="6"/>
      <c r="W8" s="6"/>
      <c r="X8" s="91"/>
    </row>
    <row r="9" spans="1:24" s="5" customFormat="1" ht="8.4499999999999993" customHeight="1" x14ac:dyDescent="0.15">
      <c r="A9" s="201"/>
      <c r="B9" s="109" t="s">
        <v>57</v>
      </c>
      <c r="C9" s="41">
        <v>588178</v>
      </c>
      <c r="D9" s="40">
        <v>585163</v>
      </c>
      <c r="E9" s="40">
        <v>580720</v>
      </c>
      <c r="F9" s="40">
        <v>576499</v>
      </c>
      <c r="G9" s="39">
        <v>574101</v>
      </c>
      <c r="H9" s="39">
        <v>571736</v>
      </c>
      <c r="I9" s="41">
        <v>534284</v>
      </c>
      <c r="J9" s="40">
        <v>535273</v>
      </c>
      <c r="K9" s="40">
        <v>536189</v>
      </c>
      <c r="L9" s="40">
        <v>533163</v>
      </c>
      <c r="M9" s="39">
        <v>535204</v>
      </c>
      <c r="N9" s="39">
        <v>536753</v>
      </c>
      <c r="O9" s="37">
        <v>90.837127536222027</v>
      </c>
      <c r="P9" s="14">
        <v>91.474170444816224</v>
      </c>
      <c r="Q9" s="14">
        <v>92.331760573081695</v>
      </c>
      <c r="R9" s="14">
        <v>92.482901097833647</v>
      </c>
      <c r="S9" s="36">
        <v>93.224711331281426</v>
      </c>
      <c r="T9" s="13">
        <v>93.88126687841941</v>
      </c>
      <c r="V9" s="6"/>
      <c r="W9" s="6"/>
      <c r="X9" s="91"/>
    </row>
    <row r="10" spans="1:24" s="5" customFormat="1" ht="8.4499999999999993" customHeight="1" x14ac:dyDescent="0.15">
      <c r="A10" s="201"/>
      <c r="B10" s="110" t="s">
        <v>4</v>
      </c>
      <c r="C10" s="41">
        <v>4215952</v>
      </c>
      <c r="D10" s="40">
        <v>4182350</v>
      </c>
      <c r="E10" s="40">
        <v>4199046</v>
      </c>
      <c r="F10" s="40">
        <v>4189948</v>
      </c>
      <c r="G10" s="39">
        <v>4189839</v>
      </c>
      <c r="H10" s="39">
        <v>4218573</v>
      </c>
      <c r="I10" s="41">
        <v>3921173</v>
      </c>
      <c r="J10" s="40">
        <v>3991519</v>
      </c>
      <c r="K10" s="40">
        <v>4013249</v>
      </c>
      <c r="L10" s="40">
        <v>4048716</v>
      </c>
      <c r="M10" s="39">
        <v>4105817</v>
      </c>
      <c r="N10" s="39">
        <v>4159785</v>
      </c>
      <c r="O10" s="37">
        <v>93.008008630079274</v>
      </c>
      <c r="P10" s="14">
        <v>95.437230265281485</v>
      </c>
      <c r="Q10" s="14">
        <v>95.575256855962039</v>
      </c>
      <c r="R10" s="14">
        <v>96.629266043397195</v>
      </c>
      <c r="S10" s="36">
        <v>97.994624614454167</v>
      </c>
      <c r="T10" s="13">
        <v>98.60644819942668</v>
      </c>
      <c r="V10" s="6"/>
      <c r="W10" s="6"/>
      <c r="X10" s="91"/>
    </row>
    <row r="11" spans="1:24" s="5" customFormat="1" ht="8.4499999999999993" customHeight="1" x14ac:dyDescent="0.15">
      <c r="A11" s="201" t="s">
        <v>62</v>
      </c>
      <c r="B11" s="111" t="s">
        <v>56</v>
      </c>
      <c r="C11" s="41">
        <v>374883</v>
      </c>
      <c r="D11" s="40">
        <v>381042</v>
      </c>
      <c r="E11" s="40">
        <v>388730</v>
      </c>
      <c r="F11" s="40">
        <v>393267</v>
      </c>
      <c r="G11" s="39">
        <v>404087</v>
      </c>
      <c r="H11" s="39">
        <v>412005</v>
      </c>
      <c r="I11" s="41">
        <v>345980</v>
      </c>
      <c r="J11" s="40">
        <v>348416</v>
      </c>
      <c r="K11" s="40">
        <v>359818</v>
      </c>
      <c r="L11" s="40">
        <v>367407</v>
      </c>
      <c r="M11" s="39">
        <v>381075</v>
      </c>
      <c r="N11" s="39">
        <v>390649</v>
      </c>
      <c r="O11" s="37">
        <v>92.290127853223538</v>
      </c>
      <c r="P11" s="14">
        <v>91.437689283596029</v>
      </c>
      <c r="Q11" s="14">
        <v>92.562446942607977</v>
      </c>
      <c r="R11" s="14">
        <v>93.424314778509256</v>
      </c>
      <c r="S11" s="36">
        <v>94.305186754337555</v>
      </c>
      <c r="T11" s="13">
        <v>94.8165677601</v>
      </c>
      <c r="V11" s="6"/>
      <c r="W11" s="6"/>
      <c r="X11" s="91"/>
    </row>
    <row r="12" spans="1:24" s="5" customFormat="1" ht="8.4499999999999993" customHeight="1" x14ac:dyDescent="0.15">
      <c r="A12" s="201"/>
      <c r="B12" s="109" t="s">
        <v>55</v>
      </c>
      <c r="C12" s="41">
        <v>711825</v>
      </c>
      <c r="D12" s="40">
        <v>726841</v>
      </c>
      <c r="E12" s="40">
        <v>736467</v>
      </c>
      <c r="F12" s="40">
        <v>749485</v>
      </c>
      <c r="G12" s="39">
        <v>755690</v>
      </c>
      <c r="H12" s="39">
        <v>765024</v>
      </c>
      <c r="I12" s="41">
        <v>626835</v>
      </c>
      <c r="J12" s="40">
        <v>644011</v>
      </c>
      <c r="K12" s="40">
        <v>657444</v>
      </c>
      <c r="L12" s="40">
        <v>675006</v>
      </c>
      <c r="M12" s="39">
        <v>686382</v>
      </c>
      <c r="N12" s="39">
        <v>701577</v>
      </c>
      <c r="O12" s="37">
        <v>88.060267621957649</v>
      </c>
      <c r="P12" s="14">
        <v>88.604110114866941</v>
      </c>
      <c r="Q12" s="14">
        <v>89.269987657288112</v>
      </c>
      <c r="R12" s="14">
        <v>90.062643014870218</v>
      </c>
      <c r="S12" s="36">
        <v>90.828514337889871</v>
      </c>
      <c r="T12" s="13">
        <v>91.706534696950683</v>
      </c>
      <c r="V12" s="6"/>
      <c r="W12" s="6"/>
      <c r="X12" s="91"/>
    </row>
    <row r="13" spans="1:24" s="5" customFormat="1" ht="8.4499999999999993" customHeight="1" x14ac:dyDescent="0.15">
      <c r="A13" s="201"/>
      <c r="B13" s="110" t="s">
        <v>4</v>
      </c>
      <c r="C13" s="41">
        <v>1086708</v>
      </c>
      <c r="D13" s="40">
        <v>1107883</v>
      </c>
      <c r="E13" s="40">
        <v>1125197</v>
      </c>
      <c r="F13" s="40">
        <v>1142752</v>
      </c>
      <c r="G13" s="39">
        <v>1159777</v>
      </c>
      <c r="H13" s="39">
        <v>1177029</v>
      </c>
      <c r="I13" s="41">
        <v>972815</v>
      </c>
      <c r="J13" s="40">
        <v>992427</v>
      </c>
      <c r="K13" s="40">
        <v>1017262</v>
      </c>
      <c r="L13" s="40">
        <v>1042413</v>
      </c>
      <c r="M13" s="39">
        <v>1067457</v>
      </c>
      <c r="N13" s="39">
        <v>1092226</v>
      </c>
      <c r="O13" s="37">
        <v>89.519447726528185</v>
      </c>
      <c r="P13" s="14">
        <v>89.578682947567572</v>
      </c>
      <c r="Q13" s="14">
        <v>90.407457538546581</v>
      </c>
      <c r="R13" s="14">
        <v>91.21952969673211</v>
      </c>
      <c r="S13" s="36">
        <v>92.039849039944741</v>
      </c>
      <c r="T13" s="13">
        <v>92.795164775039524</v>
      </c>
      <c r="V13" s="6"/>
      <c r="W13" s="6"/>
      <c r="X13" s="91"/>
    </row>
    <row r="14" spans="1:24" s="5" customFormat="1" ht="8.4499999999999993" customHeight="1" x14ac:dyDescent="0.15">
      <c r="A14" s="196" t="s">
        <v>61</v>
      </c>
      <c r="B14" s="111" t="s">
        <v>60</v>
      </c>
      <c r="C14" s="41">
        <v>699192</v>
      </c>
      <c r="D14" s="40">
        <v>707563</v>
      </c>
      <c r="E14" s="40">
        <v>717685</v>
      </c>
      <c r="F14" s="40">
        <v>735254</v>
      </c>
      <c r="G14" s="39">
        <v>765361</v>
      </c>
      <c r="H14" s="39">
        <v>787167</v>
      </c>
      <c r="I14" s="41">
        <v>581729</v>
      </c>
      <c r="J14" s="40">
        <v>603170</v>
      </c>
      <c r="K14" s="40">
        <v>595921</v>
      </c>
      <c r="L14" s="40">
        <v>610531</v>
      </c>
      <c r="M14" s="39">
        <v>644033</v>
      </c>
      <c r="N14" s="39">
        <v>665753</v>
      </c>
      <c r="O14" s="37">
        <v>83.200179635922609</v>
      </c>
      <c r="P14" s="14">
        <v>85.246119426821352</v>
      </c>
      <c r="Q14" s="14">
        <v>83.033782230365688</v>
      </c>
      <c r="R14" s="14">
        <v>83.036746484888212</v>
      </c>
      <c r="S14" s="36">
        <v>84.147611388612702</v>
      </c>
      <c r="T14" s="13">
        <v>84.575826984616981</v>
      </c>
      <c r="V14" s="6"/>
      <c r="W14" s="6"/>
      <c r="X14" s="91"/>
    </row>
    <row r="15" spans="1:24" s="5" customFormat="1" ht="8.4499999999999993" customHeight="1" x14ac:dyDescent="0.15">
      <c r="A15" s="197"/>
      <c r="B15" s="109" t="s">
        <v>59</v>
      </c>
      <c r="C15" s="41">
        <v>365687</v>
      </c>
      <c r="D15" s="40">
        <v>350718</v>
      </c>
      <c r="E15" s="40">
        <v>391229</v>
      </c>
      <c r="F15" s="40">
        <v>390681</v>
      </c>
      <c r="G15" s="39">
        <v>411730</v>
      </c>
      <c r="H15" s="39">
        <v>421233</v>
      </c>
      <c r="I15" s="41">
        <v>249926</v>
      </c>
      <c r="J15" s="40">
        <v>264167</v>
      </c>
      <c r="K15" s="40">
        <v>270291</v>
      </c>
      <c r="L15" s="40">
        <v>291584</v>
      </c>
      <c r="M15" s="39">
        <v>306054</v>
      </c>
      <c r="N15" s="39">
        <v>321528</v>
      </c>
      <c r="O15" s="37">
        <v>68.344239746012306</v>
      </c>
      <c r="P15" s="14">
        <v>75.321768486362259</v>
      </c>
      <c r="Q15" s="14">
        <v>69.087669881322697</v>
      </c>
      <c r="R15" s="14">
        <v>74.634804354447752</v>
      </c>
      <c r="S15" s="36">
        <v>74.33366526607243</v>
      </c>
      <c r="T15" s="13">
        <v>76.330202049696965</v>
      </c>
      <c r="V15" s="6"/>
      <c r="W15" s="6"/>
      <c r="X15" s="91"/>
    </row>
    <row r="16" spans="1:24" s="5" customFormat="1" ht="8.4499999999999993" customHeight="1" x14ac:dyDescent="0.15">
      <c r="A16" s="197"/>
      <c r="B16" s="109" t="s">
        <v>58</v>
      </c>
      <c r="C16" s="41">
        <v>614817</v>
      </c>
      <c r="D16" s="40">
        <v>646073</v>
      </c>
      <c r="E16" s="40">
        <v>666604</v>
      </c>
      <c r="F16" s="40">
        <v>685895</v>
      </c>
      <c r="G16" s="39">
        <v>701968</v>
      </c>
      <c r="H16" s="39">
        <v>713837</v>
      </c>
      <c r="I16" s="41">
        <v>499921</v>
      </c>
      <c r="J16" s="40">
        <v>527996</v>
      </c>
      <c r="K16" s="40">
        <v>556227</v>
      </c>
      <c r="L16" s="40">
        <v>577171</v>
      </c>
      <c r="M16" s="39">
        <v>601046</v>
      </c>
      <c r="N16" s="39">
        <v>623984</v>
      </c>
      <c r="O16" s="37">
        <v>81.312162806168345</v>
      </c>
      <c r="P16" s="14">
        <v>81.723891882186678</v>
      </c>
      <c r="Q16" s="14">
        <v>83.44189353799257</v>
      </c>
      <c r="R16" s="14">
        <v>84.148594172577447</v>
      </c>
      <c r="S16" s="36">
        <v>85.622991361429584</v>
      </c>
      <c r="T16" s="13">
        <v>87.412672640953048</v>
      </c>
      <c r="V16" s="6"/>
      <c r="W16" s="6"/>
      <c r="X16" s="91"/>
    </row>
    <row r="17" spans="1:24" s="5" customFormat="1" ht="8.4499999999999993" customHeight="1" x14ac:dyDescent="0.15">
      <c r="A17" s="197"/>
      <c r="B17" s="109" t="s">
        <v>57</v>
      </c>
      <c r="C17" s="41">
        <v>360162</v>
      </c>
      <c r="D17" s="40">
        <v>362301</v>
      </c>
      <c r="E17" s="40">
        <v>366092</v>
      </c>
      <c r="F17" s="40">
        <v>371936</v>
      </c>
      <c r="G17" s="39">
        <v>377259</v>
      </c>
      <c r="H17" s="39">
        <v>385495</v>
      </c>
      <c r="I17" s="41">
        <v>261954</v>
      </c>
      <c r="J17" s="40">
        <v>268660</v>
      </c>
      <c r="K17" s="40">
        <v>276993</v>
      </c>
      <c r="L17" s="40">
        <v>283405</v>
      </c>
      <c r="M17" s="39">
        <v>291716</v>
      </c>
      <c r="N17" s="39">
        <v>303738</v>
      </c>
      <c r="O17" s="37">
        <v>72.732270478284775</v>
      </c>
      <c r="P17" s="14">
        <v>74.153811333670077</v>
      </c>
      <c r="Q17" s="14">
        <v>75.662128645258562</v>
      </c>
      <c r="R17" s="14">
        <v>76.197248989073387</v>
      </c>
      <c r="S17" s="36">
        <v>77.325126769672821</v>
      </c>
      <c r="T17" s="13">
        <v>78.791683420018416</v>
      </c>
      <c r="V17" s="6"/>
      <c r="W17" s="6"/>
      <c r="X17" s="91"/>
    </row>
    <row r="18" spans="1:24" s="5" customFormat="1" ht="8.4499999999999993" customHeight="1" x14ac:dyDescent="0.15">
      <c r="A18" s="197"/>
      <c r="B18" s="109" t="s">
        <v>56</v>
      </c>
      <c r="C18" s="41">
        <v>2563364</v>
      </c>
      <c r="D18" s="40">
        <v>2596871</v>
      </c>
      <c r="E18" s="40">
        <v>2627967</v>
      </c>
      <c r="F18" s="40">
        <v>2672657</v>
      </c>
      <c r="G18" s="39">
        <v>2726893</v>
      </c>
      <c r="H18" s="39">
        <v>2789790</v>
      </c>
      <c r="I18" s="41">
        <v>2278232</v>
      </c>
      <c r="J18" s="40">
        <v>2337033</v>
      </c>
      <c r="K18" s="40">
        <v>2384926</v>
      </c>
      <c r="L18" s="40">
        <v>2431893</v>
      </c>
      <c r="M18" s="39">
        <v>2501607</v>
      </c>
      <c r="N18" s="39">
        <v>2570950</v>
      </c>
      <c r="O18" s="37">
        <v>88.876648029698487</v>
      </c>
      <c r="P18" s="14">
        <v>89.994189160724574</v>
      </c>
      <c r="Q18" s="14">
        <v>90.75174840475546</v>
      </c>
      <c r="R18" s="14">
        <v>90.991586275380641</v>
      </c>
      <c r="S18" s="36">
        <v>91.738363038080337</v>
      </c>
      <c r="T18" s="13">
        <v>92.155681968893717</v>
      </c>
      <c r="V18" s="6"/>
      <c r="W18" s="6"/>
      <c r="X18" s="91"/>
    </row>
    <row r="19" spans="1:24" s="5" customFormat="1" ht="8.4499999999999993" customHeight="1" x14ac:dyDescent="0.15">
      <c r="A19" s="197"/>
      <c r="B19" s="109" t="s">
        <v>55</v>
      </c>
      <c r="C19" s="41">
        <v>11119</v>
      </c>
      <c r="D19" s="40">
        <v>11199</v>
      </c>
      <c r="E19" s="40">
        <v>11722</v>
      </c>
      <c r="F19" s="40">
        <v>12182</v>
      </c>
      <c r="G19" s="39">
        <v>14391</v>
      </c>
      <c r="H19" s="39">
        <v>14759</v>
      </c>
      <c r="I19" s="41">
        <v>3370</v>
      </c>
      <c r="J19" s="40">
        <v>3708</v>
      </c>
      <c r="K19" s="40">
        <v>4612</v>
      </c>
      <c r="L19" s="40">
        <v>5008</v>
      </c>
      <c r="M19" s="39">
        <v>5642</v>
      </c>
      <c r="N19" s="39">
        <v>7655</v>
      </c>
      <c r="O19" s="37">
        <v>30.308480978505258</v>
      </c>
      <c r="P19" s="14">
        <v>33.110099115992497</v>
      </c>
      <c r="Q19" s="14">
        <v>39.344821702781097</v>
      </c>
      <c r="R19" s="14">
        <v>41.10983418157938</v>
      </c>
      <c r="S19" s="36">
        <v>39.205058717253834</v>
      </c>
      <c r="T19" s="13">
        <v>51.86665763263094</v>
      </c>
      <c r="V19" s="6"/>
      <c r="W19" s="6"/>
      <c r="X19" s="91"/>
    </row>
    <row r="20" spans="1:24" s="5" customFormat="1" ht="8.4499999999999993" customHeight="1" x14ac:dyDescent="0.15">
      <c r="A20" s="197"/>
      <c r="B20" s="109" t="s">
        <v>4</v>
      </c>
      <c r="C20" s="41">
        <v>4614341</v>
      </c>
      <c r="D20" s="40">
        <v>4674725</v>
      </c>
      <c r="E20" s="40">
        <v>4781299</v>
      </c>
      <c r="F20" s="40">
        <v>4868605</v>
      </c>
      <c r="G20" s="39">
        <v>4997602</v>
      </c>
      <c r="H20" s="39">
        <v>5112281</v>
      </c>
      <c r="I20" s="41">
        <v>3875132</v>
      </c>
      <c r="J20" s="40">
        <v>4004734</v>
      </c>
      <c r="K20" s="40">
        <v>4088970</v>
      </c>
      <c r="L20" s="40">
        <v>4199592</v>
      </c>
      <c r="M20" s="39">
        <v>4350098</v>
      </c>
      <c r="N20" s="39">
        <v>4493608</v>
      </c>
      <c r="O20" s="37">
        <v>83.980182652300726</v>
      </c>
      <c r="P20" s="14">
        <v>85.667798640561742</v>
      </c>
      <c r="Q20" s="14">
        <v>85.520064735545716</v>
      </c>
      <c r="R20" s="14">
        <v>86.258630552283449</v>
      </c>
      <c r="S20" s="36">
        <v>87.043706161475043</v>
      </c>
      <c r="T20" s="13">
        <v>87.898298235171353</v>
      </c>
      <c r="V20" s="6"/>
      <c r="W20" s="6"/>
      <c r="X20" s="91"/>
    </row>
    <row r="21" spans="1:24" s="5" customFormat="1" ht="8.4499999999999993" customHeight="1" x14ac:dyDescent="0.15">
      <c r="A21" s="202" t="s">
        <v>54</v>
      </c>
      <c r="B21" s="203"/>
      <c r="C21" s="56">
        <v>9917001</v>
      </c>
      <c r="D21" s="55">
        <v>9964958</v>
      </c>
      <c r="E21" s="55">
        <v>10105542</v>
      </c>
      <c r="F21" s="55">
        <v>10201305</v>
      </c>
      <c r="G21" s="54">
        <v>10347218</v>
      </c>
      <c r="H21" s="54">
        <v>10507883</v>
      </c>
      <c r="I21" s="56">
        <v>8769120</v>
      </c>
      <c r="J21" s="55">
        <v>8988680</v>
      </c>
      <c r="K21" s="55">
        <v>9119481</v>
      </c>
      <c r="L21" s="55">
        <v>9290721</v>
      </c>
      <c r="M21" s="54">
        <v>9523372</v>
      </c>
      <c r="N21" s="54">
        <v>9745619</v>
      </c>
      <c r="O21" s="92">
        <v>88.425119650587916</v>
      </c>
      <c r="P21" s="19">
        <v>90.202888963505927</v>
      </c>
      <c r="Q21" s="19">
        <v>90.242373936994184</v>
      </c>
      <c r="R21" s="19">
        <v>91.073847904753364</v>
      </c>
      <c r="S21" s="51">
        <v>92.037995140336264</v>
      </c>
      <c r="T21" s="18">
        <v>92.745789042378945</v>
      </c>
      <c r="V21" s="6"/>
      <c r="W21" s="6"/>
      <c r="X21" s="91"/>
    </row>
    <row r="22" spans="1:24" s="5" customFormat="1" ht="8.4499999999999993" customHeight="1" x14ac:dyDescent="0.15">
      <c r="A22" s="112" t="s">
        <v>53</v>
      </c>
      <c r="B22" s="110" t="s">
        <v>27</v>
      </c>
      <c r="C22" s="81">
        <v>1389526</v>
      </c>
      <c r="D22" s="80">
        <v>1404663</v>
      </c>
      <c r="E22" s="80">
        <v>1421648</v>
      </c>
      <c r="F22" s="80">
        <v>1437818</v>
      </c>
      <c r="G22" s="79">
        <v>1451270</v>
      </c>
      <c r="H22" s="79">
        <v>1467555</v>
      </c>
      <c r="I22" s="81">
        <v>1059273</v>
      </c>
      <c r="J22" s="80">
        <v>1121579</v>
      </c>
      <c r="K22" s="80">
        <v>1178096</v>
      </c>
      <c r="L22" s="80">
        <v>1228270</v>
      </c>
      <c r="M22" s="79">
        <v>1271083</v>
      </c>
      <c r="N22" s="79">
        <v>1319756</v>
      </c>
      <c r="O22" s="93">
        <v>76.232686542029441</v>
      </c>
      <c r="P22" s="27">
        <v>79.846838707932079</v>
      </c>
      <c r="Q22" s="27">
        <v>82.868333089484878</v>
      </c>
      <c r="R22" s="27">
        <v>85.425971854574072</v>
      </c>
      <c r="S22" s="76">
        <v>87.584184886340935</v>
      </c>
      <c r="T22" s="26">
        <v>89.928895339527301</v>
      </c>
      <c r="V22" s="6"/>
      <c r="W22" s="6"/>
      <c r="X22" s="91"/>
    </row>
    <row r="23" spans="1:24" s="5" customFormat="1" ht="8.4499999999999993" customHeight="1" x14ac:dyDescent="0.15">
      <c r="A23" s="113" t="s">
        <v>52</v>
      </c>
      <c r="B23" s="114" t="s">
        <v>42</v>
      </c>
      <c r="C23" s="89">
        <v>948652</v>
      </c>
      <c r="D23" s="88">
        <v>960265</v>
      </c>
      <c r="E23" s="88">
        <v>970618</v>
      </c>
      <c r="F23" s="88">
        <v>982360</v>
      </c>
      <c r="G23" s="87">
        <v>994220</v>
      </c>
      <c r="H23" s="87">
        <v>1006753</v>
      </c>
      <c r="I23" s="89">
        <v>775472</v>
      </c>
      <c r="J23" s="88">
        <v>812574</v>
      </c>
      <c r="K23" s="88">
        <v>849130</v>
      </c>
      <c r="L23" s="88">
        <v>891117</v>
      </c>
      <c r="M23" s="87">
        <v>934567</v>
      </c>
      <c r="N23" s="87">
        <v>962963</v>
      </c>
      <c r="O23" s="94">
        <v>81.74462289648892</v>
      </c>
      <c r="P23" s="29">
        <v>84.619766418644843</v>
      </c>
      <c r="Q23" s="29">
        <v>87.483438386677363</v>
      </c>
      <c r="R23" s="29">
        <v>90.711857160307829</v>
      </c>
      <c r="S23" s="84">
        <v>94.000020116272054</v>
      </c>
      <c r="T23" s="28">
        <v>95.650373030922182</v>
      </c>
      <c r="V23" s="6"/>
      <c r="W23" s="6"/>
      <c r="X23" s="91"/>
    </row>
    <row r="24" spans="1:24" s="5" customFormat="1" ht="8.4499999999999993" customHeight="1" x14ac:dyDescent="0.15">
      <c r="A24" s="113" t="s">
        <v>51</v>
      </c>
      <c r="B24" s="114" t="s">
        <v>14</v>
      </c>
      <c r="C24" s="89">
        <v>555538</v>
      </c>
      <c r="D24" s="88">
        <v>563599</v>
      </c>
      <c r="E24" s="88">
        <v>573043</v>
      </c>
      <c r="F24" s="88">
        <v>580427</v>
      </c>
      <c r="G24" s="87">
        <v>586464</v>
      </c>
      <c r="H24" s="87">
        <v>592818</v>
      </c>
      <c r="I24" s="89">
        <v>523533</v>
      </c>
      <c r="J24" s="88">
        <v>544158</v>
      </c>
      <c r="K24" s="88">
        <v>571281</v>
      </c>
      <c r="L24" s="88">
        <v>555852</v>
      </c>
      <c r="M24" s="87">
        <v>572660</v>
      </c>
      <c r="N24" s="87">
        <v>588515</v>
      </c>
      <c r="O24" s="94">
        <v>94.238917949807217</v>
      </c>
      <c r="P24" s="29">
        <v>96.550561658200238</v>
      </c>
      <c r="Q24" s="29">
        <v>99.692518711510303</v>
      </c>
      <c r="R24" s="29">
        <v>95.766048099071881</v>
      </c>
      <c r="S24" s="84">
        <v>97.646232334806569</v>
      </c>
      <c r="T24" s="28">
        <v>99.274144847153764</v>
      </c>
      <c r="V24" s="6"/>
      <c r="W24" s="6"/>
      <c r="X24" s="91"/>
    </row>
    <row r="25" spans="1:24" s="5" customFormat="1" ht="8.4499999999999993" customHeight="1" x14ac:dyDescent="0.15">
      <c r="A25" s="113" t="s">
        <v>50</v>
      </c>
      <c r="B25" s="114" t="s">
        <v>20</v>
      </c>
      <c r="C25" s="89">
        <v>575600</v>
      </c>
      <c r="D25" s="88">
        <v>584877</v>
      </c>
      <c r="E25" s="88">
        <v>592508</v>
      </c>
      <c r="F25" s="88">
        <v>597008</v>
      </c>
      <c r="G25" s="87">
        <v>606137</v>
      </c>
      <c r="H25" s="87">
        <v>614639</v>
      </c>
      <c r="I25" s="89">
        <v>530299</v>
      </c>
      <c r="J25" s="88">
        <v>542674</v>
      </c>
      <c r="K25" s="88">
        <v>553353</v>
      </c>
      <c r="L25" s="88">
        <v>561817</v>
      </c>
      <c r="M25" s="87">
        <v>571987</v>
      </c>
      <c r="N25" s="87">
        <v>581453</v>
      </c>
      <c r="O25" s="94">
        <v>92.129777623349554</v>
      </c>
      <c r="P25" s="29">
        <v>92.784294817542829</v>
      </c>
      <c r="Q25" s="29">
        <v>93.391650408095757</v>
      </c>
      <c r="R25" s="29">
        <v>94.105439123093831</v>
      </c>
      <c r="S25" s="84">
        <v>94.36596017072047</v>
      </c>
      <c r="T25" s="28">
        <v>94.600733113258357</v>
      </c>
      <c r="V25" s="6"/>
      <c r="W25" s="6"/>
      <c r="X25" s="91"/>
    </row>
    <row r="26" spans="1:24" s="5" customFormat="1" ht="8.4499999999999993" customHeight="1" x14ac:dyDescent="0.15">
      <c r="A26" s="113" t="s">
        <v>49</v>
      </c>
      <c r="B26" s="114" t="s">
        <v>6</v>
      </c>
      <c r="C26" s="89">
        <v>422177</v>
      </c>
      <c r="D26" s="88">
        <v>431595</v>
      </c>
      <c r="E26" s="88">
        <v>442250</v>
      </c>
      <c r="F26" s="88">
        <v>451688</v>
      </c>
      <c r="G26" s="87">
        <v>455352</v>
      </c>
      <c r="H26" s="87">
        <v>458547</v>
      </c>
      <c r="I26" s="89">
        <v>364250</v>
      </c>
      <c r="J26" s="88">
        <v>379028</v>
      </c>
      <c r="K26" s="88">
        <v>394558</v>
      </c>
      <c r="L26" s="88">
        <v>409472</v>
      </c>
      <c r="M26" s="87">
        <v>418012</v>
      </c>
      <c r="N26" s="87">
        <v>427149</v>
      </c>
      <c r="O26" s="94">
        <v>86.278977774724822</v>
      </c>
      <c r="P26" s="29">
        <v>87.820294489046447</v>
      </c>
      <c r="Q26" s="29">
        <v>89.216054267947996</v>
      </c>
      <c r="R26" s="29">
        <v>90.65372558048918</v>
      </c>
      <c r="S26" s="84">
        <v>91.799750522672568</v>
      </c>
      <c r="T26" s="28">
        <v>93.152719350470065</v>
      </c>
      <c r="U26" s="165"/>
      <c r="V26" s="6"/>
      <c r="W26" s="6"/>
      <c r="X26" s="91"/>
    </row>
    <row r="27" spans="1:24" s="5" customFormat="1" ht="8.4499999999999993" customHeight="1" x14ac:dyDescent="0.15">
      <c r="A27" s="196" t="s">
        <v>72</v>
      </c>
      <c r="B27" s="111" t="s">
        <v>22</v>
      </c>
      <c r="C27" s="89">
        <v>0</v>
      </c>
      <c r="D27" s="88">
        <v>2967</v>
      </c>
      <c r="E27" s="88">
        <v>3037</v>
      </c>
      <c r="F27" s="88">
        <v>3063</v>
      </c>
      <c r="G27" s="87">
        <v>3156</v>
      </c>
      <c r="H27" s="87">
        <v>3124</v>
      </c>
      <c r="I27" s="89">
        <v>0</v>
      </c>
      <c r="J27" s="88">
        <v>1727</v>
      </c>
      <c r="K27" s="88">
        <v>1831</v>
      </c>
      <c r="L27" s="88">
        <v>1909</v>
      </c>
      <c r="M27" s="87">
        <v>1854</v>
      </c>
      <c r="N27" s="87">
        <v>1922</v>
      </c>
      <c r="O27" s="94">
        <v>0</v>
      </c>
      <c r="P27" s="29">
        <v>58.206943040107852</v>
      </c>
      <c r="Q27" s="29">
        <v>60.289759631215013</v>
      </c>
      <c r="R27" s="29">
        <v>62.324518445968003</v>
      </c>
      <c r="S27" s="84">
        <v>58.745247148288968</v>
      </c>
      <c r="T27" s="28">
        <v>61.523687580025609</v>
      </c>
      <c r="V27" s="6"/>
      <c r="W27" s="6"/>
      <c r="X27" s="91"/>
    </row>
    <row r="28" spans="1:24" s="5" customFormat="1" ht="8.4499999999999993" customHeight="1" x14ac:dyDescent="0.15">
      <c r="A28" s="197"/>
      <c r="B28" s="109" t="s">
        <v>19</v>
      </c>
      <c r="C28" s="89">
        <v>0</v>
      </c>
      <c r="D28" s="88">
        <v>50045</v>
      </c>
      <c r="E28" s="88">
        <v>59770</v>
      </c>
      <c r="F28" s="88">
        <v>78743</v>
      </c>
      <c r="G28" s="87">
        <v>91187</v>
      </c>
      <c r="H28" s="87">
        <v>106366</v>
      </c>
      <c r="I28" s="89">
        <v>0</v>
      </c>
      <c r="J28" s="88">
        <v>26119</v>
      </c>
      <c r="K28" s="88">
        <v>43488</v>
      </c>
      <c r="L28" s="88">
        <v>62769</v>
      </c>
      <c r="M28" s="87">
        <v>72991</v>
      </c>
      <c r="N28" s="87">
        <v>87224</v>
      </c>
      <c r="O28" s="94">
        <v>0</v>
      </c>
      <c r="P28" s="29">
        <v>52.191028074732735</v>
      </c>
      <c r="Q28" s="29">
        <v>72.758909151748369</v>
      </c>
      <c r="R28" s="29">
        <v>79.713752333540754</v>
      </c>
      <c r="S28" s="84">
        <v>80.045401208505595</v>
      </c>
      <c r="T28" s="28">
        <v>82.003647782186036</v>
      </c>
      <c r="V28" s="6"/>
      <c r="W28" s="6"/>
      <c r="X28" s="91"/>
    </row>
    <row r="29" spans="1:24" s="5" customFormat="1" ht="8.4499999999999993" customHeight="1" x14ac:dyDescent="0.15">
      <c r="A29" s="198"/>
      <c r="B29" s="110" t="s">
        <v>4</v>
      </c>
      <c r="C29" s="89">
        <v>0</v>
      </c>
      <c r="D29" s="88">
        <v>53012</v>
      </c>
      <c r="E29" s="88">
        <v>62807</v>
      </c>
      <c r="F29" s="88">
        <v>81806</v>
      </c>
      <c r="G29" s="87">
        <v>94343</v>
      </c>
      <c r="H29" s="87">
        <v>109490</v>
      </c>
      <c r="I29" s="89">
        <v>0</v>
      </c>
      <c r="J29" s="88">
        <v>27846</v>
      </c>
      <c r="K29" s="88">
        <v>45319</v>
      </c>
      <c r="L29" s="88">
        <v>64678</v>
      </c>
      <c r="M29" s="87">
        <v>74845</v>
      </c>
      <c r="N29" s="87">
        <v>89146</v>
      </c>
      <c r="O29" s="94">
        <v>0</v>
      </c>
      <c r="P29" s="29">
        <v>52.527729570663254</v>
      </c>
      <c r="Q29" s="29">
        <v>72.155969875969234</v>
      </c>
      <c r="R29" s="29">
        <v>79.062660440554481</v>
      </c>
      <c r="S29" s="84">
        <v>79.332859883616166</v>
      </c>
      <c r="T29" s="28">
        <v>81.419307699333274</v>
      </c>
      <c r="V29" s="6"/>
      <c r="W29" s="6"/>
      <c r="X29" s="91"/>
    </row>
    <row r="30" spans="1:24" s="5" customFormat="1" ht="8.4499999999999993" customHeight="1" x14ac:dyDescent="0.15">
      <c r="A30" s="196" t="s">
        <v>48</v>
      </c>
      <c r="B30" s="111" t="s">
        <v>26</v>
      </c>
      <c r="C30" s="89">
        <v>140490</v>
      </c>
      <c r="D30" s="88">
        <v>161309</v>
      </c>
      <c r="E30" s="88">
        <v>205574</v>
      </c>
      <c r="F30" s="88">
        <v>208289</v>
      </c>
      <c r="G30" s="87">
        <v>210956</v>
      </c>
      <c r="H30" s="87">
        <v>213075</v>
      </c>
      <c r="I30" s="89">
        <v>98922</v>
      </c>
      <c r="J30" s="88">
        <v>103958</v>
      </c>
      <c r="K30" s="88">
        <v>110957</v>
      </c>
      <c r="L30" s="88">
        <v>114429</v>
      </c>
      <c r="M30" s="87">
        <v>116348</v>
      </c>
      <c r="N30" s="87">
        <v>120237</v>
      </c>
      <c r="O30" s="94">
        <v>70.412128977151397</v>
      </c>
      <c r="P30" s="29">
        <v>64.446497095636317</v>
      </c>
      <c r="Q30" s="29">
        <v>53.974237987294117</v>
      </c>
      <c r="R30" s="29">
        <v>54.937610723561967</v>
      </c>
      <c r="S30" s="84">
        <v>55.152733271393082</v>
      </c>
      <c r="T30" s="28">
        <v>56.429426258359726</v>
      </c>
      <c r="V30" s="6"/>
      <c r="W30" s="6"/>
      <c r="X30" s="91"/>
    </row>
    <row r="31" spans="1:24" s="5" customFormat="1" ht="8.4499999999999993" customHeight="1" x14ac:dyDescent="0.15">
      <c r="A31" s="197"/>
      <c r="B31" s="109" t="s">
        <v>25</v>
      </c>
      <c r="C31" s="89">
        <v>150033</v>
      </c>
      <c r="D31" s="88">
        <v>152167</v>
      </c>
      <c r="E31" s="88">
        <v>154835</v>
      </c>
      <c r="F31" s="88">
        <v>159201</v>
      </c>
      <c r="G31" s="87">
        <v>163419</v>
      </c>
      <c r="H31" s="87">
        <v>167298</v>
      </c>
      <c r="I31" s="89">
        <v>96785</v>
      </c>
      <c r="J31" s="88">
        <v>100233</v>
      </c>
      <c r="K31" s="88">
        <v>104371</v>
      </c>
      <c r="L31" s="88">
        <v>109370</v>
      </c>
      <c r="M31" s="87">
        <v>117566</v>
      </c>
      <c r="N31" s="87">
        <v>124887</v>
      </c>
      <c r="O31" s="94">
        <v>64.509141322242442</v>
      </c>
      <c r="P31" s="29">
        <v>65.870392397826066</v>
      </c>
      <c r="Q31" s="29">
        <v>67.40788581393096</v>
      </c>
      <c r="R31" s="29">
        <v>68.699317215344124</v>
      </c>
      <c r="S31" s="84">
        <v>71.941451116455241</v>
      </c>
      <c r="T31" s="28">
        <v>74.649427966861523</v>
      </c>
      <c r="V31" s="6"/>
      <c r="W31" s="6"/>
      <c r="X31" s="91"/>
    </row>
    <row r="32" spans="1:24" s="5" customFormat="1" ht="8.4499999999999993" customHeight="1" x14ac:dyDescent="0.15">
      <c r="A32" s="197"/>
      <c r="B32" s="109" t="s">
        <v>24</v>
      </c>
      <c r="C32" s="89">
        <v>164400</v>
      </c>
      <c r="D32" s="88">
        <v>143238</v>
      </c>
      <c r="E32" s="88">
        <v>168419</v>
      </c>
      <c r="F32" s="88">
        <v>168713</v>
      </c>
      <c r="G32" s="87">
        <v>169396</v>
      </c>
      <c r="H32" s="87">
        <v>170556</v>
      </c>
      <c r="I32" s="89">
        <v>31441</v>
      </c>
      <c r="J32" s="88">
        <v>35979</v>
      </c>
      <c r="K32" s="88">
        <v>39140</v>
      </c>
      <c r="L32" s="88">
        <v>38720</v>
      </c>
      <c r="M32" s="87">
        <v>45402</v>
      </c>
      <c r="N32" s="87">
        <v>48484</v>
      </c>
      <c r="O32" s="94">
        <v>19.124695863746961</v>
      </c>
      <c r="P32" s="29">
        <v>25.118334520169228</v>
      </c>
      <c r="Q32" s="29">
        <v>23.239658233334719</v>
      </c>
      <c r="R32" s="29">
        <v>22.950217232815493</v>
      </c>
      <c r="S32" s="84">
        <v>26.802285768258994</v>
      </c>
      <c r="T32" s="28">
        <v>28.427026900255637</v>
      </c>
      <c r="V32" s="6"/>
      <c r="W32" s="6"/>
      <c r="X32" s="91"/>
    </row>
    <row r="33" spans="1:24" s="5" customFormat="1" ht="8.4499999999999993" customHeight="1" x14ac:dyDescent="0.15">
      <c r="A33" s="197"/>
      <c r="B33" s="109" t="s">
        <v>23</v>
      </c>
      <c r="C33" s="89">
        <v>63314</v>
      </c>
      <c r="D33" s="88">
        <v>65456</v>
      </c>
      <c r="E33" s="88">
        <v>65669</v>
      </c>
      <c r="F33" s="88">
        <v>65782</v>
      </c>
      <c r="G33" s="87">
        <v>65972</v>
      </c>
      <c r="H33" s="87">
        <v>66817</v>
      </c>
      <c r="I33" s="89">
        <v>18456</v>
      </c>
      <c r="J33" s="88">
        <v>19263</v>
      </c>
      <c r="K33" s="88">
        <v>20113</v>
      </c>
      <c r="L33" s="88">
        <v>21031</v>
      </c>
      <c r="M33" s="87">
        <v>22371</v>
      </c>
      <c r="N33" s="87">
        <v>23356</v>
      </c>
      <c r="O33" s="94">
        <v>29.149951037685192</v>
      </c>
      <c r="P33" s="29">
        <v>29.428929357125398</v>
      </c>
      <c r="Q33" s="29">
        <v>30.627845711066104</v>
      </c>
      <c r="R33" s="29">
        <v>31.970751877413271</v>
      </c>
      <c r="S33" s="84">
        <v>33.909840538410236</v>
      </c>
      <c r="T33" s="28">
        <v>34.95517607794423</v>
      </c>
      <c r="V33" s="6"/>
      <c r="W33" s="6"/>
      <c r="X33" s="91"/>
    </row>
    <row r="34" spans="1:24" s="5" customFormat="1" ht="8.4499999999999993" customHeight="1" x14ac:dyDescent="0.15">
      <c r="A34" s="197"/>
      <c r="B34" s="109" t="s">
        <v>75</v>
      </c>
      <c r="C34" s="89">
        <v>0</v>
      </c>
      <c r="D34" s="88">
        <v>0</v>
      </c>
      <c r="E34" s="88">
        <v>0</v>
      </c>
      <c r="F34" s="88">
        <v>0</v>
      </c>
      <c r="G34" s="87">
        <v>20745</v>
      </c>
      <c r="H34" s="87">
        <v>21008</v>
      </c>
      <c r="I34" s="89">
        <v>0</v>
      </c>
      <c r="J34" s="88">
        <v>0</v>
      </c>
      <c r="K34" s="88">
        <v>0</v>
      </c>
      <c r="L34" s="88">
        <v>0</v>
      </c>
      <c r="M34" s="87">
        <v>0</v>
      </c>
      <c r="N34" s="87">
        <v>807</v>
      </c>
      <c r="O34" s="94">
        <v>0</v>
      </c>
      <c r="P34" s="29">
        <v>0</v>
      </c>
      <c r="Q34" s="29">
        <v>0</v>
      </c>
      <c r="R34" s="29">
        <v>0</v>
      </c>
      <c r="S34" s="84">
        <v>0</v>
      </c>
      <c r="T34" s="28">
        <v>3.8413937547600909</v>
      </c>
      <c r="V34" s="6"/>
      <c r="W34" s="6"/>
      <c r="X34" s="91"/>
    </row>
    <row r="35" spans="1:24" s="5" customFormat="1" ht="8.4499999999999993" customHeight="1" x14ac:dyDescent="0.15">
      <c r="A35" s="198"/>
      <c r="B35" s="110" t="s">
        <v>4</v>
      </c>
      <c r="C35" s="89">
        <v>518237</v>
      </c>
      <c r="D35" s="88">
        <v>522170</v>
      </c>
      <c r="E35" s="88">
        <v>594497</v>
      </c>
      <c r="F35" s="88">
        <v>601985</v>
      </c>
      <c r="G35" s="87">
        <v>630488</v>
      </c>
      <c r="H35" s="87">
        <v>638754</v>
      </c>
      <c r="I35" s="89">
        <v>245604</v>
      </c>
      <c r="J35" s="88">
        <v>259433</v>
      </c>
      <c r="K35" s="88">
        <v>274581</v>
      </c>
      <c r="L35" s="88">
        <v>283550</v>
      </c>
      <c r="M35" s="87">
        <v>301687</v>
      </c>
      <c r="N35" s="87">
        <v>317771</v>
      </c>
      <c r="O35" s="94">
        <v>47.392216302579712</v>
      </c>
      <c r="P35" s="29">
        <v>49.683627937261811</v>
      </c>
      <c r="Q35" s="29">
        <v>46.187112802924155</v>
      </c>
      <c r="R35" s="29">
        <v>47.102502554050353</v>
      </c>
      <c r="S35" s="84">
        <v>47.84976082019007</v>
      </c>
      <c r="T35" s="28">
        <v>49.748573003065346</v>
      </c>
      <c r="V35" s="6"/>
      <c r="W35" s="6"/>
      <c r="X35" s="91"/>
    </row>
    <row r="36" spans="1:24" s="5" customFormat="1" ht="8.4499999999999993" customHeight="1" x14ac:dyDescent="0.15">
      <c r="A36" s="196" t="s">
        <v>47</v>
      </c>
      <c r="B36" s="111" t="s">
        <v>22</v>
      </c>
      <c r="C36" s="89">
        <v>552196</v>
      </c>
      <c r="D36" s="88">
        <v>559160</v>
      </c>
      <c r="E36" s="88">
        <v>569730</v>
      </c>
      <c r="F36" s="88">
        <v>582040</v>
      </c>
      <c r="G36" s="87">
        <v>592060</v>
      </c>
      <c r="H36" s="87">
        <v>599128</v>
      </c>
      <c r="I36" s="89">
        <v>312605</v>
      </c>
      <c r="J36" s="88">
        <v>330598</v>
      </c>
      <c r="K36" s="88">
        <v>351770</v>
      </c>
      <c r="L36" s="88">
        <v>369583</v>
      </c>
      <c r="M36" s="87">
        <v>368241</v>
      </c>
      <c r="N36" s="87">
        <v>388553</v>
      </c>
      <c r="O36" s="94">
        <v>56.611239487428378</v>
      </c>
      <c r="P36" s="29">
        <v>59.124043207668642</v>
      </c>
      <c r="Q36" s="29">
        <v>61.743281905463988</v>
      </c>
      <c r="R36" s="29">
        <v>63.497869562229404</v>
      </c>
      <c r="S36" s="84">
        <v>62.196567915413979</v>
      </c>
      <c r="T36" s="28">
        <v>64.853086485692529</v>
      </c>
      <c r="V36" s="6"/>
      <c r="W36" s="6"/>
      <c r="X36" s="91"/>
    </row>
    <row r="37" spans="1:24" s="5" customFormat="1" ht="8.4499999999999993" customHeight="1" x14ac:dyDescent="0.15">
      <c r="A37" s="197"/>
      <c r="B37" s="109" t="s">
        <v>21</v>
      </c>
      <c r="C37" s="89">
        <v>83795</v>
      </c>
      <c r="D37" s="88">
        <v>84902</v>
      </c>
      <c r="E37" s="88">
        <v>86422</v>
      </c>
      <c r="F37" s="88">
        <v>87463</v>
      </c>
      <c r="G37" s="87">
        <v>88900</v>
      </c>
      <c r="H37" s="87">
        <v>90246</v>
      </c>
      <c r="I37" s="89">
        <v>44712</v>
      </c>
      <c r="J37" s="88">
        <v>49886</v>
      </c>
      <c r="K37" s="88">
        <v>53419</v>
      </c>
      <c r="L37" s="88">
        <v>55440</v>
      </c>
      <c r="M37" s="87">
        <v>60303</v>
      </c>
      <c r="N37" s="87">
        <v>63668</v>
      </c>
      <c r="O37" s="94">
        <v>53.358792290709466</v>
      </c>
      <c r="P37" s="29">
        <v>58.757155308473294</v>
      </c>
      <c r="Q37" s="29">
        <v>61.811807178727641</v>
      </c>
      <c r="R37" s="29">
        <v>63.386803562649355</v>
      </c>
      <c r="S37" s="84">
        <v>67.832395950506182</v>
      </c>
      <c r="T37" s="28">
        <v>70.549387230458976</v>
      </c>
      <c r="V37" s="6"/>
      <c r="W37" s="6"/>
      <c r="X37" s="91"/>
    </row>
    <row r="38" spans="1:24" s="5" customFormat="1" ht="8.4499999999999993" customHeight="1" x14ac:dyDescent="0.15">
      <c r="A38" s="198"/>
      <c r="B38" s="110" t="s">
        <v>4</v>
      </c>
      <c r="C38" s="89">
        <v>635991</v>
      </c>
      <c r="D38" s="88">
        <v>644062</v>
      </c>
      <c r="E38" s="88">
        <v>656152</v>
      </c>
      <c r="F38" s="88">
        <v>669503</v>
      </c>
      <c r="G38" s="87">
        <v>680960</v>
      </c>
      <c r="H38" s="87">
        <v>689374</v>
      </c>
      <c r="I38" s="89">
        <v>357317</v>
      </c>
      <c r="J38" s="88">
        <v>380484</v>
      </c>
      <c r="K38" s="88">
        <v>405189</v>
      </c>
      <c r="L38" s="88">
        <v>425023</v>
      </c>
      <c r="M38" s="87">
        <v>428544</v>
      </c>
      <c r="N38" s="87">
        <v>452221</v>
      </c>
      <c r="O38" s="94">
        <v>56.182713277389141</v>
      </c>
      <c r="P38" s="29">
        <v>59.075679049532503</v>
      </c>
      <c r="Q38" s="29">
        <v>61.752307392189607</v>
      </c>
      <c r="R38" s="29">
        <v>63.48336004468986</v>
      </c>
      <c r="S38" s="84">
        <v>62.932330827067673</v>
      </c>
      <c r="T38" s="28">
        <v>65.598789626530746</v>
      </c>
      <c r="V38" s="6"/>
      <c r="W38" s="6"/>
      <c r="X38" s="91"/>
    </row>
    <row r="39" spans="1:24" s="5" customFormat="1" ht="8.4499999999999993" customHeight="1" x14ac:dyDescent="0.15">
      <c r="A39" s="196" t="s">
        <v>46</v>
      </c>
      <c r="B39" s="111" t="s">
        <v>20</v>
      </c>
      <c r="C39" s="89">
        <v>14017</v>
      </c>
      <c r="D39" s="88">
        <v>13954</v>
      </c>
      <c r="E39" s="88">
        <v>13894</v>
      </c>
      <c r="F39" s="88">
        <v>14397</v>
      </c>
      <c r="G39" s="87">
        <v>14858</v>
      </c>
      <c r="H39" s="87">
        <v>15647</v>
      </c>
      <c r="I39" s="89">
        <v>13035</v>
      </c>
      <c r="J39" s="88">
        <v>13152</v>
      </c>
      <c r="K39" s="88">
        <v>13297</v>
      </c>
      <c r="L39" s="88">
        <v>14049</v>
      </c>
      <c r="M39" s="87">
        <v>14077</v>
      </c>
      <c r="N39" s="87">
        <v>14852</v>
      </c>
      <c r="O39" s="94">
        <v>92.994221302703863</v>
      </c>
      <c r="P39" s="29">
        <v>94.252544073383987</v>
      </c>
      <c r="Q39" s="29">
        <v>95.703181229307603</v>
      </c>
      <c r="R39" s="29">
        <v>97.582829756199203</v>
      </c>
      <c r="S39" s="84">
        <v>94.743572486202723</v>
      </c>
      <c r="T39" s="28">
        <v>94.919153831405382</v>
      </c>
      <c r="V39" s="6"/>
      <c r="W39" s="6"/>
      <c r="X39" s="91"/>
    </row>
    <row r="40" spans="1:24" s="5" customFormat="1" ht="8.4499999999999993" customHeight="1" x14ac:dyDescent="0.15">
      <c r="A40" s="197"/>
      <c r="B40" s="109" t="s">
        <v>19</v>
      </c>
      <c r="C40" s="89">
        <v>640617</v>
      </c>
      <c r="D40" s="88">
        <v>604313</v>
      </c>
      <c r="E40" s="88">
        <v>612719</v>
      </c>
      <c r="F40" s="88">
        <v>621027</v>
      </c>
      <c r="G40" s="87">
        <v>631588</v>
      </c>
      <c r="H40" s="87">
        <v>647231</v>
      </c>
      <c r="I40" s="89">
        <v>333888</v>
      </c>
      <c r="J40" s="88">
        <v>336204</v>
      </c>
      <c r="K40" s="88">
        <v>357649</v>
      </c>
      <c r="L40" s="88">
        <v>380476</v>
      </c>
      <c r="M40" s="87">
        <v>406934</v>
      </c>
      <c r="N40" s="87">
        <v>438135</v>
      </c>
      <c r="O40" s="94">
        <v>52.11975330033389</v>
      </c>
      <c r="P40" s="29">
        <v>55.6340836619434</v>
      </c>
      <c r="Q40" s="29">
        <v>58.370802929238366</v>
      </c>
      <c r="R40" s="29">
        <v>61.265613250309571</v>
      </c>
      <c r="S40" s="84">
        <v>64.430293165797963</v>
      </c>
      <c r="T40" s="28">
        <v>67.693760033125727</v>
      </c>
      <c r="V40" s="6"/>
      <c r="W40" s="6"/>
      <c r="X40" s="91"/>
    </row>
    <row r="41" spans="1:24" s="5" customFormat="1" ht="8.4499999999999993" customHeight="1" x14ac:dyDescent="0.15">
      <c r="A41" s="197"/>
      <c r="B41" s="109" t="s">
        <v>18</v>
      </c>
      <c r="C41" s="89">
        <v>234389</v>
      </c>
      <c r="D41" s="88">
        <v>239432</v>
      </c>
      <c r="E41" s="88">
        <v>244369</v>
      </c>
      <c r="F41" s="88">
        <v>250544</v>
      </c>
      <c r="G41" s="87">
        <v>255848</v>
      </c>
      <c r="H41" s="87">
        <v>260559</v>
      </c>
      <c r="I41" s="89">
        <v>87263</v>
      </c>
      <c r="J41" s="88">
        <v>98087</v>
      </c>
      <c r="K41" s="88">
        <v>105972</v>
      </c>
      <c r="L41" s="88">
        <v>116986</v>
      </c>
      <c r="M41" s="87">
        <v>131159</v>
      </c>
      <c r="N41" s="87">
        <v>142877</v>
      </c>
      <c r="O41" s="94">
        <v>37.229989461962802</v>
      </c>
      <c r="P41" s="29">
        <v>40.966537472017109</v>
      </c>
      <c r="Q41" s="29">
        <v>43.365566008781805</v>
      </c>
      <c r="R41" s="29">
        <v>46.692796474870676</v>
      </c>
      <c r="S41" s="84">
        <v>51.264422625934145</v>
      </c>
      <c r="T41" s="28">
        <v>54.834797493082178</v>
      </c>
      <c r="V41" s="6"/>
      <c r="W41" s="6"/>
      <c r="X41" s="91"/>
    </row>
    <row r="42" spans="1:24" s="5" customFormat="1" ht="8.4499999999999993" customHeight="1" x14ac:dyDescent="0.15">
      <c r="A42" s="198"/>
      <c r="B42" s="110" t="s">
        <v>4</v>
      </c>
      <c r="C42" s="89">
        <v>889023</v>
      </c>
      <c r="D42" s="88">
        <v>857699</v>
      </c>
      <c r="E42" s="88">
        <v>870982</v>
      </c>
      <c r="F42" s="88">
        <v>885968</v>
      </c>
      <c r="G42" s="87">
        <v>902294</v>
      </c>
      <c r="H42" s="87">
        <v>923437</v>
      </c>
      <c r="I42" s="89">
        <v>434186</v>
      </c>
      <c r="J42" s="88">
        <v>447443</v>
      </c>
      <c r="K42" s="88">
        <v>476918</v>
      </c>
      <c r="L42" s="88">
        <v>511511</v>
      </c>
      <c r="M42" s="87">
        <v>552170</v>
      </c>
      <c r="N42" s="87">
        <v>595864</v>
      </c>
      <c r="O42" s="94">
        <v>48.838556482790658</v>
      </c>
      <c r="P42" s="29">
        <v>52.167835102990679</v>
      </c>
      <c r="Q42" s="29">
        <v>54.75635547003268</v>
      </c>
      <c r="R42" s="29">
        <v>57.734703736478068</v>
      </c>
      <c r="S42" s="84">
        <v>61.196239806537555</v>
      </c>
      <c r="T42" s="28">
        <v>64.52676251872083</v>
      </c>
      <c r="V42" s="6"/>
      <c r="W42" s="6"/>
      <c r="X42" s="91"/>
    </row>
    <row r="43" spans="1:24" s="5" customFormat="1" ht="8.4499999999999993" customHeight="1" x14ac:dyDescent="0.15">
      <c r="A43" s="196" t="s">
        <v>45</v>
      </c>
      <c r="B43" s="111" t="s">
        <v>17</v>
      </c>
      <c r="C43" s="89">
        <v>411867</v>
      </c>
      <c r="D43" s="88">
        <v>415986</v>
      </c>
      <c r="E43" s="88">
        <v>422322</v>
      </c>
      <c r="F43" s="88">
        <v>428387</v>
      </c>
      <c r="G43" s="87">
        <v>432952</v>
      </c>
      <c r="H43" s="87">
        <v>436948</v>
      </c>
      <c r="I43" s="89">
        <v>264578</v>
      </c>
      <c r="J43" s="88">
        <v>274589</v>
      </c>
      <c r="K43" s="88">
        <v>290869</v>
      </c>
      <c r="L43" s="88">
        <v>301971</v>
      </c>
      <c r="M43" s="87">
        <v>315443</v>
      </c>
      <c r="N43" s="87">
        <v>325371</v>
      </c>
      <c r="O43" s="94">
        <v>64.23869841477952</v>
      </c>
      <c r="P43" s="29">
        <v>66.009192617059227</v>
      </c>
      <c r="Q43" s="29">
        <v>68.873750361098871</v>
      </c>
      <c r="R43" s="29">
        <v>70.490234297492691</v>
      </c>
      <c r="S43" s="84">
        <v>72.858654077126332</v>
      </c>
      <c r="T43" s="28">
        <v>74.464467167717899</v>
      </c>
      <c r="V43" s="6"/>
      <c r="W43" s="6"/>
      <c r="X43" s="91"/>
    </row>
    <row r="44" spans="1:24" s="5" customFormat="1" ht="8.4499999999999993" customHeight="1" x14ac:dyDescent="0.15">
      <c r="A44" s="197"/>
      <c r="B44" s="109" t="s">
        <v>16</v>
      </c>
      <c r="C44" s="89">
        <v>151466</v>
      </c>
      <c r="D44" s="88">
        <v>153583</v>
      </c>
      <c r="E44" s="88">
        <v>154616</v>
      </c>
      <c r="F44" s="88">
        <v>156059</v>
      </c>
      <c r="G44" s="87">
        <v>157350</v>
      </c>
      <c r="H44" s="87">
        <v>157842</v>
      </c>
      <c r="I44" s="89">
        <v>85460</v>
      </c>
      <c r="J44" s="88">
        <v>90774</v>
      </c>
      <c r="K44" s="88">
        <v>94708</v>
      </c>
      <c r="L44" s="88">
        <v>98896</v>
      </c>
      <c r="M44" s="87">
        <v>101115</v>
      </c>
      <c r="N44" s="87">
        <v>103397</v>
      </c>
      <c r="O44" s="94">
        <v>56.421903265419303</v>
      </c>
      <c r="P44" s="29">
        <v>59.104197730217535</v>
      </c>
      <c r="Q44" s="29">
        <v>61.253686552491338</v>
      </c>
      <c r="R44" s="29">
        <v>63.370904593775435</v>
      </c>
      <c r="S44" s="84">
        <v>64.261201143946607</v>
      </c>
      <c r="T44" s="28">
        <v>65.506645886392718</v>
      </c>
      <c r="V44" s="6"/>
      <c r="W44" s="6"/>
      <c r="X44" s="91"/>
    </row>
    <row r="45" spans="1:24" s="5" customFormat="1" ht="8.4499999999999993" customHeight="1" x14ac:dyDescent="0.15">
      <c r="A45" s="197"/>
      <c r="B45" s="109" t="s">
        <v>15</v>
      </c>
      <c r="C45" s="89">
        <v>172735</v>
      </c>
      <c r="D45" s="88">
        <v>174005</v>
      </c>
      <c r="E45" s="88">
        <v>174333</v>
      </c>
      <c r="F45" s="88">
        <v>175060</v>
      </c>
      <c r="G45" s="87">
        <v>176005</v>
      </c>
      <c r="H45" s="87">
        <v>179055</v>
      </c>
      <c r="I45" s="89">
        <v>86378</v>
      </c>
      <c r="J45" s="88">
        <v>96095</v>
      </c>
      <c r="K45" s="88">
        <v>97738</v>
      </c>
      <c r="L45" s="88">
        <v>101396</v>
      </c>
      <c r="M45" s="87">
        <v>104590</v>
      </c>
      <c r="N45" s="87">
        <v>105547</v>
      </c>
      <c r="O45" s="94">
        <v>50.00607867542768</v>
      </c>
      <c r="P45" s="29">
        <v>55.22542455676561</v>
      </c>
      <c r="Q45" s="29">
        <v>56.063969529578451</v>
      </c>
      <c r="R45" s="29">
        <v>57.920712898434822</v>
      </c>
      <c r="S45" s="84">
        <v>59.424448169086105</v>
      </c>
      <c r="T45" s="18">
        <v>58.946692357096985</v>
      </c>
      <c r="V45" s="6"/>
      <c r="W45" s="6"/>
      <c r="X45" s="91"/>
    </row>
    <row r="46" spans="1:24" s="5" customFormat="1" ht="8.4499999999999993" customHeight="1" x14ac:dyDescent="0.15">
      <c r="A46" s="198"/>
      <c r="B46" s="110" t="s">
        <v>4</v>
      </c>
      <c r="C46" s="89">
        <v>736068</v>
      </c>
      <c r="D46" s="88">
        <v>743574</v>
      </c>
      <c r="E46" s="88">
        <v>751271</v>
      </c>
      <c r="F46" s="88">
        <v>759506</v>
      </c>
      <c r="G46" s="87">
        <v>766307</v>
      </c>
      <c r="H46" s="87">
        <v>773845</v>
      </c>
      <c r="I46" s="89">
        <v>436416</v>
      </c>
      <c r="J46" s="88">
        <v>461458</v>
      </c>
      <c r="K46" s="88">
        <v>483315</v>
      </c>
      <c r="L46" s="88">
        <v>502263</v>
      </c>
      <c r="M46" s="87">
        <v>521148</v>
      </c>
      <c r="N46" s="87">
        <v>534315</v>
      </c>
      <c r="O46" s="94">
        <v>59.290174277376551</v>
      </c>
      <c r="P46" s="29">
        <v>62.059458776127194</v>
      </c>
      <c r="Q46" s="29">
        <v>64.33297704822894</v>
      </c>
      <c r="R46" s="29">
        <v>66.130221486071207</v>
      </c>
      <c r="S46" s="84">
        <v>68.007730583173583</v>
      </c>
      <c r="T46" s="18">
        <v>69.046772932564011</v>
      </c>
      <c r="V46" s="6"/>
      <c r="W46" s="6"/>
      <c r="X46" s="91"/>
    </row>
    <row r="47" spans="1:24" s="5" customFormat="1" ht="8.4499999999999993" customHeight="1" x14ac:dyDescent="0.15">
      <c r="A47" s="196" t="s">
        <v>44</v>
      </c>
      <c r="B47" s="111" t="s">
        <v>14</v>
      </c>
      <c r="C47" s="89">
        <v>138350</v>
      </c>
      <c r="D47" s="88">
        <v>175065</v>
      </c>
      <c r="E47" s="88">
        <v>194216</v>
      </c>
      <c r="F47" s="88">
        <v>219192</v>
      </c>
      <c r="G47" s="87">
        <v>221881</v>
      </c>
      <c r="H47" s="87">
        <v>225906</v>
      </c>
      <c r="I47" s="89">
        <v>27160</v>
      </c>
      <c r="J47" s="88">
        <v>36851</v>
      </c>
      <c r="K47" s="88">
        <v>43050</v>
      </c>
      <c r="L47" s="88">
        <v>48642</v>
      </c>
      <c r="M47" s="87">
        <v>56637</v>
      </c>
      <c r="N47" s="87">
        <v>62876</v>
      </c>
      <c r="O47" s="94">
        <v>19.63136971449223</v>
      </c>
      <c r="P47" s="29">
        <v>21.049895753006027</v>
      </c>
      <c r="Q47" s="29">
        <v>22.166041932693496</v>
      </c>
      <c r="R47" s="29">
        <v>22.191503339537938</v>
      </c>
      <c r="S47" s="84">
        <v>25.525844934897535</v>
      </c>
      <c r="T47" s="28">
        <v>27.832815418802507</v>
      </c>
      <c r="V47" s="6"/>
      <c r="W47" s="6"/>
      <c r="X47" s="91"/>
    </row>
    <row r="48" spans="1:24" s="5" customFormat="1" ht="8.4499999999999993" customHeight="1" x14ac:dyDescent="0.15">
      <c r="A48" s="197"/>
      <c r="B48" s="109" t="s">
        <v>119</v>
      </c>
      <c r="C48" s="89">
        <v>159367</v>
      </c>
      <c r="D48" s="88">
        <v>160074</v>
      </c>
      <c r="E48" s="88">
        <v>161870</v>
      </c>
      <c r="F48" s="88">
        <v>162500</v>
      </c>
      <c r="G48" s="87">
        <v>182284</v>
      </c>
      <c r="H48" s="87">
        <v>182323</v>
      </c>
      <c r="I48" s="89">
        <v>82836</v>
      </c>
      <c r="J48" s="88">
        <v>90361</v>
      </c>
      <c r="K48" s="88">
        <v>98384</v>
      </c>
      <c r="L48" s="88">
        <v>105260</v>
      </c>
      <c r="M48" s="87">
        <v>111978</v>
      </c>
      <c r="N48" s="87">
        <v>116317</v>
      </c>
      <c r="O48" s="94">
        <v>51.978138510482097</v>
      </c>
      <c r="P48" s="29">
        <v>56.449517098342014</v>
      </c>
      <c r="Q48" s="29">
        <v>60.779637981095945</v>
      </c>
      <c r="R48" s="29">
        <v>64.77538461538461</v>
      </c>
      <c r="S48" s="84">
        <v>61.430515020517426</v>
      </c>
      <c r="T48" s="28">
        <v>63.797217026924748</v>
      </c>
      <c r="V48" s="6"/>
      <c r="W48" s="6"/>
      <c r="X48" s="91"/>
    </row>
    <row r="49" spans="1:24" s="5" customFormat="1" ht="8.4499999999999993" customHeight="1" x14ac:dyDescent="0.15">
      <c r="A49" s="197"/>
      <c r="B49" s="109" t="s">
        <v>13</v>
      </c>
      <c r="C49" s="89">
        <v>243263</v>
      </c>
      <c r="D49" s="88">
        <v>246144</v>
      </c>
      <c r="E49" s="88">
        <v>248747</v>
      </c>
      <c r="F49" s="88">
        <v>252293</v>
      </c>
      <c r="G49" s="87">
        <v>255937</v>
      </c>
      <c r="H49" s="87">
        <v>259607</v>
      </c>
      <c r="I49" s="89">
        <v>112676</v>
      </c>
      <c r="J49" s="88">
        <v>118381</v>
      </c>
      <c r="K49" s="88">
        <v>123671</v>
      </c>
      <c r="L49" s="88">
        <v>130727</v>
      </c>
      <c r="M49" s="87">
        <v>137193</v>
      </c>
      <c r="N49" s="87">
        <v>142948</v>
      </c>
      <c r="O49" s="94">
        <v>46.318593456464811</v>
      </c>
      <c r="P49" s="29">
        <v>48.094205018200732</v>
      </c>
      <c r="Q49" s="29">
        <v>49.717584533682817</v>
      </c>
      <c r="R49" s="29">
        <v>51.815547795618585</v>
      </c>
      <c r="S49" s="84">
        <v>53.604207285386643</v>
      </c>
      <c r="T49" s="28">
        <v>55.063230190249115</v>
      </c>
      <c r="V49" s="6"/>
      <c r="W49" s="6"/>
      <c r="X49" s="91"/>
    </row>
    <row r="50" spans="1:24" s="5" customFormat="1" ht="8.4499999999999993" customHeight="1" x14ac:dyDescent="0.15">
      <c r="A50" s="197"/>
      <c r="B50" s="109" t="s">
        <v>12</v>
      </c>
      <c r="C50" s="89">
        <v>101788</v>
      </c>
      <c r="D50" s="88">
        <v>103117</v>
      </c>
      <c r="E50" s="88">
        <v>104852</v>
      </c>
      <c r="F50" s="88">
        <v>105297</v>
      </c>
      <c r="G50" s="87">
        <v>107501</v>
      </c>
      <c r="H50" s="87">
        <v>115519</v>
      </c>
      <c r="I50" s="89">
        <v>60389</v>
      </c>
      <c r="J50" s="88">
        <v>63282</v>
      </c>
      <c r="K50" s="88">
        <v>68409</v>
      </c>
      <c r="L50" s="88">
        <v>73075</v>
      </c>
      <c r="M50" s="87">
        <v>76513</v>
      </c>
      <c r="N50" s="87">
        <v>79560</v>
      </c>
      <c r="O50" s="94">
        <v>59.328211577003188</v>
      </c>
      <c r="P50" s="29">
        <v>61.369124392680163</v>
      </c>
      <c r="Q50" s="29">
        <v>65.243390684011743</v>
      </c>
      <c r="R50" s="29">
        <v>69.398938241355395</v>
      </c>
      <c r="S50" s="84">
        <v>71.174221635147589</v>
      </c>
      <c r="T50" s="28">
        <v>68.871787325028791</v>
      </c>
      <c r="V50" s="6"/>
      <c r="W50" s="6"/>
      <c r="X50" s="91"/>
    </row>
    <row r="51" spans="1:24" s="5" customFormat="1" ht="8.4499999999999993" customHeight="1" x14ac:dyDescent="0.15">
      <c r="A51" s="198"/>
      <c r="B51" s="110" t="s">
        <v>4</v>
      </c>
      <c r="C51" s="89">
        <v>642768</v>
      </c>
      <c r="D51" s="88">
        <v>684400</v>
      </c>
      <c r="E51" s="88">
        <v>709685</v>
      </c>
      <c r="F51" s="88">
        <v>739282</v>
      </c>
      <c r="G51" s="87">
        <v>767603</v>
      </c>
      <c r="H51" s="87">
        <v>783355</v>
      </c>
      <c r="I51" s="89">
        <v>283061</v>
      </c>
      <c r="J51" s="88">
        <v>308875</v>
      </c>
      <c r="K51" s="88">
        <v>333514</v>
      </c>
      <c r="L51" s="88">
        <v>357704</v>
      </c>
      <c r="M51" s="87">
        <v>382321</v>
      </c>
      <c r="N51" s="87">
        <v>401701</v>
      </c>
      <c r="O51" s="94">
        <v>44.037817688497249</v>
      </c>
      <c r="P51" s="29">
        <v>45.130771478667448</v>
      </c>
      <c r="Q51" s="29">
        <v>46.994652557120418</v>
      </c>
      <c r="R51" s="29">
        <v>48.385325220957633</v>
      </c>
      <c r="S51" s="84">
        <v>49.807126861150877</v>
      </c>
      <c r="T51" s="28">
        <v>51.279560352585996</v>
      </c>
      <c r="V51" s="6"/>
      <c r="W51" s="6"/>
      <c r="X51" s="91"/>
    </row>
    <row r="52" spans="1:24" s="5" customFormat="1" ht="8.4499999999999993" customHeight="1" x14ac:dyDescent="0.15">
      <c r="A52" s="196" t="s">
        <v>43</v>
      </c>
      <c r="B52" s="111" t="s">
        <v>42</v>
      </c>
      <c r="C52" s="89">
        <v>105069</v>
      </c>
      <c r="D52" s="88">
        <v>107212</v>
      </c>
      <c r="E52" s="88">
        <v>110880</v>
      </c>
      <c r="F52" s="88">
        <v>125575</v>
      </c>
      <c r="G52" s="87">
        <v>126886</v>
      </c>
      <c r="H52" s="87">
        <v>128958</v>
      </c>
      <c r="I52" s="89">
        <v>96881</v>
      </c>
      <c r="J52" s="88">
        <v>101413</v>
      </c>
      <c r="K52" s="88">
        <v>104886</v>
      </c>
      <c r="L52" s="88">
        <v>110897</v>
      </c>
      <c r="M52" s="87">
        <v>113798</v>
      </c>
      <c r="N52" s="87">
        <v>116914</v>
      </c>
      <c r="O52" s="94">
        <v>92.207025859197287</v>
      </c>
      <c r="P52" s="29">
        <v>94.591090549565351</v>
      </c>
      <c r="Q52" s="29">
        <v>94.59415584415585</v>
      </c>
      <c r="R52" s="29">
        <v>88.311367708540715</v>
      </c>
      <c r="S52" s="84">
        <v>89.68522926091137</v>
      </c>
      <c r="T52" s="28">
        <v>90.660525132213593</v>
      </c>
      <c r="V52" s="6"/>
      <c r="W52" s="6"/>
      <c r="X52" s="91"/>
    </row>
    <row r="53" spans="1:24" s="5" customFormat="1" ht="8.4499999999999993" customHeight="1" x14ac:dyDescent="0.15">
      <c r="A53" s="197"/>
      <c r="B53" s="96" t="s">
        <v>11</v>
      </c>
      <c r="C53" s="89">
        <v>385698</v>
      </c>
      <c r="D53" s="88">
        <v>391485</v>
      </c>
      <c r="E53" s="88">
        <v>395880</v>
      </c>
      <c r="F53" s="88">
        <v>402579</v>
      </c>
      <c r="G53" s="87">
        <v>406526</v>
      </c>
      <c r="H53" s="87">
        <v>410776</v>
      </c>
      <c r="I53" s="89">
        <v>199417</v>
      </c>
      <c r="J53" s="88">
        <v>212330</v>
      </c>
      <c r="K53" s="88">
        <v>226149</v>
      </c>
      <c r="L53" s="88">
        <v>237396</v>
      </c>
      <c r="M53" s="87">
        <v>248059</v>
      </c>
      <c r="N53" s="87">
        <v>257488</v>
      </c>
      <c r="O53" s="94">
        <v>51.702886714476094</v>
      </c>
      <c r="P53" s="29">
        <v>54.237071663026683</v>
      </c>
      <c r="Q53" s="29">
        <v>57.125644134586238</v>
      </c>
      <c r="R53" s="29">
        <v>58.968798670571488</v>
      </c>
      <c r="S53" s="84">
        <v>61.019221402813109</v>
      </c>
      <c r="T53" s="28">
        <v>62.683311585876488</v>
      </c>
      <c r="V53" s="6"/>
      <c r="W53" s="6"/>
      <c r="X53" s="91"/>
    </row>
    <row r="54" spans="1:24" s="5" customFormat="1" ht="8.4499999999999993" customHeight="1" x14ac:dyDescent="0.15">
      <c r="A54" s="197"/>
      <c r="B54" s="96" t="s">
        <v>10</v>
      </c>
      <c r="C54" s="89">
        <v>245931</v>
      </c>
      <c r="D54" s="88">
        <v>249189</v>
      </c>
      <c r="E54" s="88">
        <v>252111</v>
      </c>
      <c r="F54" s="88">
        <v>255655</v>
      </c>
      <c r="G54" s="87">
        <v>257466</v>
      </c>
      <c r="H54" s="87">
        <v>259205</v>
      </c>
      <c r="I54" s="89">
        <v>160784</v>
      </c>
      <c r="J54" s="88">
        <v>166756</v>
      </c>
      <c r="K54" s="88">
        <v>172800</v>
      </c>
      <c r="L54" s="88">
        <v>176898</v>
      </c>
      <c r="M54" s="87">
        <v>182551</v>
      </c>
      <c r="N54" s="87">
        <v>187062</v>
      </c>
      <c r="O54" s="94">
        <v>65.377687237477176</v>
      </c>
      <c r="P54" s="29">
        <v>66.919486815228595</v>
      </c>
      <c r="Q54" s="29">
        <v>68.541237788117144</v>
      </c>
      <c r="R54" s="29">
        <v>69.194031018364583</v>
      </c>
      <c r="S54" s="84">
        <v>70.902954176473784</v>
      </c>
      <c r="T54" s="28">
        <v>72.16758935977316</v>
      </c>
      <c r="V54" s="6"/>
      <c r="W54" s="6"/>
      <c r="X54" s="91"/>
    </row>
    <row r="55" spans="1:24" s="5" customFormat="1" ht="8.4499999999999993" customHeight="1" x14ac:dyDescent="0.15">
      <c r="A55" s="197"/>
      <c r="B55" s="109" t="s">
        <v>9</v>
      </c>
      <c r="C55" s="89">
        <v>215003</v>
      </c>
      <c r="D55" s="88">
        <v>217454</v>
      </c>
      <c r="E55" s="88">
        <v>219063</v>
      </c>
      <c r="F55" s="88">
        <v>198685</v>
      </c>
      <c r="G55" s="87">
        <v>200875</v>
      </c>
      <c r="H55" s="87">
        <v>200875</v>
      </c>
      <c r="I55" s="89">
        <v>44468</v>
      </c>
      <c r="J55" s="88">
        <v>49041</v>
      </c>
      <c r="K55" s="88">
        <v>54039</v>
      </c>
      <c r="L55" s="88">
        <v>57798</v>
      </c>
      <c r="M55" s="87">
        <v>65969</v>
      </c>
      <c r="N55" s="87">
        <v>74613</v>
      </c>
      <c r="O55" s="94">
        <v>20.682502104621797</v>
      </c>
      <c r="P55" s="29">
        <v>22.552355900558279</v>
      </c>
      <c r="Q55" s="29">
        <v>24.668246120978896</v>
      </c>
      <c r="R55" s="29">
        <v>29.090268515489342</v>
      </c>
      <c r="S55" s="84">
        <v>32.840821406347231</v>
      </c>
      <c r="T55" s="28">
        <v>37.143995021779716</v>
      </c>
      <c r="V55" s="6"/>
      <c r="W55" s="6"/>
      <c r="X55" s="91"/>
    </row>
    <row r="56" spans="1:24" s="5" customFormat="1" ht="8.4499999999999993" customHeight="1" x14ac:dyDescent="0.15">
      <c r="A56" s="197"/>
      <c r="B56" s="109" t="s">
        <v>8</v>
      </c>
      <c r="C56" s="89">
        <v>155003</v>
      </c>
      <c r="D56" s="88">
        <v>156658</v>
      </c>
      <c r="E56" s="88">
        <v>157890</v>
      </c>
      <c r="F56" s="88">
        <v>159290</v>
      </c>
      <c r="G56" s="87">
        <v>161307</v>
      </c>
      <c r="H56" s="87">
        <v>163506</v>
      </c>
      <c r="I56" s="89">
        <v>68484</v>
      </c>
      <c r="J56" s="88">
        <v>73599</v>
      </c>
      <c r="K56" s="88">
        <v>79095</v>
      </c>
      <c r="L56" s="88">
        <v>91724</v>
      </c>
      <c r="M56" s="87">
        <v>100451</v>
      </c>
      <c r="N56" s="87">
        <v>105449</v>
      </c>
      <c r="O56" s="94">
        <v>44.182370663793606</v>
      </c>
      <c r="P56" s="29">
        <v>46.98068403784039</v>
      </c>
      <c r="Q56" s="29">
        <v>50.0950028500855</v>
      </c>
      <c r="R56" s="29">
        <v>57.583024671981917</v>
      </c>
      <c r="S56" s="84">
        <v>62.273180953089444</v>
      </c>
      <c r="T56" s="28">
        <v>64.492434528396515</v>
      </c>
      <c r="V56" s="6"/>
      <c r="W56" s="6"/>
      <c r="X56" s="91"/>
    </row>
    <row r="57" spans="1:24" s="5" customFormat="1" ht="8.4499999999999993" customHeight="1" x14ac:dyDescent="0.15">
      <c r="A57" s="198"/>
      <c r="B57" s="110" t="s">
        <v>4</v>
      </c>
      <c r="C57" s="89">
        <v>1106704</v>
      </c>
      <c r="D57" s="88">
        <v>1121998</v>
      </c>
      <c r="E57" s="88">
        <v>1135824</v>
      </c>
      <c r="F57" s="88">
        <v>1141784</v>
      </c>
      <c r="G57" s="87">
        <v>1153060</v>
      </c>
      <c r="H57" s="87">
        <v>1163320</v>
      </c>
      <c r="I57" s="89">
        <v>570034</v>
      </c>
      <c r="J57" s="88">
        <v>603139</v>
      </c>
      <c r="K57" s="88">
        <v>636969</v>
      </c>
      <c r="L57" s="88">
        <v>674713</v>
      </c>
      <c r="M57" s="87">
        <v>710828</v>
      </c>
      <c r="N57" s="87">
        <v>741526</v>
      </c>
      <c r="O57" s="94">
        <v>51.507358787896308</v>
      </c>
      <c r="P57" s="29">
        <v>53.755799921211974</v>
      </c>
      <c r="Q57" s="29">
        <v>56.079903224443228</v>
      </c>
      <c r="R57" s="29">
        <v>59.092875710291956</v>
      </c>
      <c r="S57" s="84">
        <v>61.647095554437762</v>
      </c>
      <c r="T57" s="28">
        <v>63.74222054120964</v>
      </c>
      <c r="V57" s="6"/>
      <c r="W57" s="6"/>
      <c r="X57" s="91"/>
    </row>
    <row r="58" spans="1:24" s="5" customFormat="1" ht="8.4499999999999993" customHeight="1" x14ac:dyDescent="0.15">
      <c r="A58" s="196" t="s">
        <v>41</v>
      </c>
      <c r="B58" s="111" t="s">
        <v>7</v>
      </c>
      <c r="C58" s="89">
        <v>843502</v>
      </c>
      <c r="D58" s="88">
        <v>854877</v>
      </c>
      <c r="E58" s="88">
        <v>897239</v>
      </c>
      <c r="F58" s="88">
        <v>910626</v>
      </c>
      <c r="G58" s="87">
        <v>932105</v>
      </c>
      <c r="H58" s="87">
        <v>938823</v>
      </c>
      <c r="I58" s="89">
        <v>522294</v>
      </c>
      <c r="J58" s="88">
        <v>547248</v>
      </c>
      <c r="K58" s="88">
        <v>577022</v>
      </c>
      <c r="L58" s="88">
        <v>612657</v>
      </c>
      <c r="M58" s="87">
        <v>644653</v>
      </c>
      <c r="N58" s="87">
        <v>696486</v>
      </c>
      <c r="O58" s="94">
        <v>61.919710919476181</v>
      </c>
      <c r="P58" s="29">
        <v>64.014823185089782</v>
      </c>
      <c r="Q58" s="29">
        <v>64.310846942676363</v>
      </c>
      <c r="R58" s="29">
        <v>67.27866324923734</v>
      </c>
      <c r="S58" s="84">
        <v>69.160985082152763</v>
      </c>
      <c r="T58" s="28">
        <v>74.187147098015288</v>
      </c>
      <c r="V58" s="6"/>
      <c r="W58" s="6"/>
      <c r="X58" s="91"/>
    </row>
    <row r="59" spans="1:24" s="5" customFormat="1" ht="8.4499999999999993" customHeight="1" x14ac:dyDescent="0.15">
      <c r="A59" s="197"/>
      <c r="B59" s="109" t="s">
        <v>6</v>
      </c>
      <c r="C59" s="89">
        <v>102031</v>
      </c>
      <c r="D59" s="88">
        <v>106677</v>
      </c>
      <c r="E59" s="88">
        <v>113213</v>
      </c>
      <c r="F59" s="88">
        <v>117649</v>
      </c>
      <c r="G59" s="87">
        <v>125453</v>
      </c>
      <c r="H59" s="87">
        <v>135821</v>
      </c>
      <c r="I59" s="89">
        <v>74616</v>
      </c>
      <c r="J59" s="88">
        <v>79115</v>
      </c>
      <c r="K59" s="88">
        <v>89783</v>
      </c>
      <c r="L59" s="88">
        <v>96436</v>
      </c>
      <c r="M59" s="87">
        <v>107391</v>
      </c>
      <c r="N59" s="87">
        <v>118942</v>
      </c>
      <c r="O59" s="94">
        <v>73.130715174799818</v>
      </c>
      <c r="P59" s="29">
        <v>74.16312794698014</v>
      </c>
      <c r="Q59" s="29">
        <v>79.304496833402524</v>
      </c>
      <c r="R59" s="29">
        <v>81.969247507416128</v>
      </c>
      <c r="S59" s="84">
        <v>85.602576263620634</v>
      </c>
      <c r="T59" s="28">
        <v>87.572613955132113</v>
      </c>
      <c r="V59" s="6"/>
      <c r="W59" s="6"/>
      <c r="X59" s="91"/>
    </row>
    <row r="60" spans="1:24" s="5" customFormat="1" ht="8.4499999999999993" customHeight="1" x14ac:dyDescent="0.15">
      <c r="A60" s="197"/>
      <c r="B60" s="109" t="s">
        <v>5</v>
      </c>
      <c r="C60" s="89">
        <v>206276</v>
      </c>
      <c r="D60" s="88">
        <v>227992</v>
      </c>
      <c r="E60" s="88">
        <v>231475</v>
      </c>
      <c r="F60" s="88">
        <v>236009</v>
      </c>
      <c r="G60" s="87">
        <v>263265</v>
      </c>
      <c r="H60" s="87">
        <v>266286</v>
      </c>
      <c r="I60" s="89">
        <v>96541</v>
      </c>
      <c r="J60" s="88">
        <v>108311</v>
      </c>
      <c r="K60" s="88">
        <v>123845</v>
      </c>
      <c r="L60" s="88">
        <v>130903</v>
      </c>
      <c r="M60" s="87">
        <v>138732</v>
      </c>
      <c r="N60" s="87">
        <v>148009</v>
      </c>
      <c r="O60" s="94">
        <v>46.801857705210494</v>
      </c>
      <c r="P60" s="29">
        <v>47.506491455840553</v>
      </c>
      <c r="Q60" s="29">
        <v>53.502538071065985</v>
      </c>
      <c r="R60" s="29">
        <v>55.465257680851153</v>
      </c>
      <c r="S60" s="84">
        <v>52.696712438037721</v>
      </c>
      <c r="T60" s="28">
        <v>55.582719331846207</v>
      </c>
      <c r="V60" s="6"/>
      <c r="W60" s="6"/>
      <c r="X60" s="91"/>
    </row>
    <row r="61" spans="1:24" s="5" customFormat="1" ht="8.4499999999999993" customHeight="1" x14ac:dyDescent="0.15">
      <c r="A61" s="197"/>
      <c r="B61" s="109" t="s">
        <v>4</v>
      </c>
      <c r="C61" s="89">
        <v>1151809</v>
      </c>
      <c r="D61" s="88">
        <v>1189546</v>
      </c>
      <c r="E61" s="88">
        <v>1241927</v>
      </c>
      <c r="F61" s="88">
        <v>1264284</v>
      </c>
      <c r="G61" s="87">
        <v>1320823</v>
      </c>
      <c r="H61" s="87">
        <v>1340930</v>
      </c>
      <c r="I61" s="89">
        <v>693451</v>
      </c>
      <c r="J61" s="88">
        <v>734674</v>
      </c>
      <c r="K61" s="88">
        <v>790650</v>
      </c>
      <c r="L61" s="88">
        <v>839996</v>
      </c>
      <c r="M61" s="87">
        <v>890776</v>
      </c>
      <c r="N61" s="87">
        <v>963437</v>
      </c>
      <c r="O61" s="94">
        <v>60.205381274152224</v>
      </c>
      <c r="P61" s="29">
        <v>61.760873476099285</v>
      </c>
      <c r="Q61" s="29">
        <v>63.66316216653636</v>
      </c>
      <c r="R61" s="29">
        <v>66.440451670668935</v>
      </c>
      <c r="S61" s="84">
        <v>67.440981872665745</v>
      </c>
      <c r="T61" s="28">
        <v>71.848418634828064</v>
      </c>
      <c r="V61" s="6"/>
      <c r="W61" s="6"/>
      <c r="X61" s="91"/>
    </row>
    <row r="62" spans="1:24" s="5" customFormat="1" ht="8.4499999999999993" customHeight="1" x14ac:dyDescent="0.15">
      <c r="A62" s="115" t="s">
        <v>40</v>
      </c>
      <c r="B62" s="116" t="s">
        <v>39</v>
      </c>
      <c r="C62" s="89">
        <v>196524</v>
      </c>
      <c r="D62" s="88">
        <v>167548</v>
      </c>
      <c r="E62" s="88">
        <v>173627</v>
      </c>
      <c r="F62" s="88">
        <v>177102</v>
      </c>
      <c r="G62" s="87">
        <v>186694</v>
      </c>
      <c r="H62" s="87">
        <v>278203</v>
      </c>
      <c r="I62" s="89">
        <v>12239</v>
      </c>
      <c r="J62" s="88">
        <v>15599</v>
      </c>
      <c r="K62" s="88">
        <v>17559</v>
      </c>
      <c r="L62" s="88">
        <v>20607</v>
      </c>
      <c r="M62" s="87">
        <v>23455</v>
      </c>
      <c r="N62" s="87">
        <v>25556</v>
      </c>
      <c r="O62" s="94">
        <v>6.2277380879688993</v>
      </c>
      <c r="P62" s="29">
        <v>9.3101678325017314</v>
      </c>
      <c r="Q62" s="29">
        <v>10.113058452890392</v>
      </c>
      <c r="R62" s="29">
        <v>11.635667581393774</v>
      </c>
      <c r="S62" s="84">
        <v>12.563338939655264</v>
      </c>
      <c r="T62" s="28">
        <v>9.1860979213020713</v>
      </c>
      <c r="V62" s="6"/>
      <c r="W62" s="6"/>
      <c r="X62" s="91"/>
    </row>
    <row r="63" spans="1:24" s="5" customFormat="1" ht="8.4499999999999993" customHeight="1" x14ac:dyDescent="0.15">
      <c r="A63" s="199" t="s">
        <v>38</v>
      </c>
      <c r="B63" s="200"/>
      <c r="C63" s="56">
        <v>9768617</v>
      </c>
      <c r="D63" s="55">
        <v>9929008</v>
      </c>
      <c r="E63" s="55">
        <v>10196839</v>
      </c>
      <c r="F63" s="55">
        <v>10370521</v>
      </c>
      <c r="G63" s="54">
        <v>10596015</v>
      </c>
      <c r="H63" s="54">
        <v>10841020</v>
      </c>
      <c r="I63" s="56">
        <v>6285135</v>
      </c>
      <c r="J63" s="55">
        <v>6638964</v>
      </c>
      <c r="K63" s="55">
        <v>7010432</v>
      </c>
      <c r="L63" s="55">
        <v>7326573</v>
      </c>
      <c r="M63" s="54">
        <v>7654083</v>
      </c>
      <c r="N63" s="54">
        <v>8001373</v>
      </c>
      <c r="O63" s="92">
        <v>64.340069837930997</v>
      </c>
      <c r="P63" s="19">
        <v>66.864323203284755</v>
      </c>
      <c r="Q63" s="19">
        <v>68.751031569685466</v>
      </c>
      <c r="R63" s="19">
        <v>70.64807062248849</v>
      </c>
      <c r="S63" s="51">
        <v>72.235486642855832</v>
      </c>
      <c r="T63" s="18">
        <v>73.806459170816026</v>
      </c>
      <c r="V63" s="6"/>
      <c r="W63" s="6"/>
      <c r="X63" s="91"/>
    </row>
    <row r="64" spans="1:24" s="5" customFormat="1" ht="8.4499999999999993" customHeight="1" x14ac:dyDescent="0.15">
      <c r="A64" s="176" t="s">
        <v>3</v>
      </c>
      <c r="B64" s="177"/>
      <c r="C64" s="56">
        <v>19685618</v>
      </c>
      <c r="D64" s="55">
        <v>19893966</v>
      </c>
      <c r="E64" s="55">
        <v>20302381</v>
      </c>
      <c r="F64" s="55">
        <v>20571826</v>
      </c>
      <c r="G64" s="54">
        <v>20943233</v>
      </c>
      <c r="H64" s="54">
        <v>21348903</v>
      </c>
      <c r="I64" s="56">
        <v>15054255</v>
      </c>
      <c r="J64" s="55">
        <v>15627644</v>
      </c>
      <c r="K64" s="55">
        <v>16129913</v>
      </c>
      <c r="L64" s="55">
        <v>16617294</v>
      </c>
      <c r="M64" s="54">
        <v>17177455</v>
      </c>
      <c r="N64" s="54">
        <v>17746992</v>
      </c>
      <c r="O64" s="92">
        <v>76.473367511246025</v>
      </c>
      <c r="P64" s="19">
        <v>78.554693418094715</v>
      </c>
      <c r="Q64" s="19">
        <v>79.448380955908576</v>
      </c>
      <c r="R64" s="19">
        <v>80.776951934164714</v>
      </c>
      <c r="S64" s="51">
        <v>82.019118060712032</v>
      </c>
      <c r="T64" s="18">
        <v>83.1283555881068</v>
      </c>
      <c r="V64" s="6"/>
      <c r="W64" s="6"/>
      <c r="X64" s="91"/>
    </row>
    <row r="65" spans="1:24" ht="8.4499999999999993" customHeight="1" x14ac:dyDescent="0.15">
      <c r="A65" s="117"/>
      <c r="B65" s="118"/>
      <c r="C65" s="50"/>
      <c r="D65" s="50"/>
      <c r="E65" s="50">
        <v>0</v>
      </c>
      <c r="F65" s="50">
        <v>0</v>
      </c>
      <c r="G65" s="50">
        <v>0</v>
      </c>
      <c r="H65" s="50">
        <v>0</v>
      </c>
      <c r="I65" s="50"/>
      <c r="J65" s="50"/>
      <c r="K65" s="50">
        <v>0</v>
      </c>
      <c r="L65" s="50">
        <v>0</v>
      </c>
      <c r="M65" s="50">
        <v>0</v>
      </c>
      <c r="N65" s="50">
        <v>0</v>
      </c>
      <c r="O65" s="48"/>
      <c r="P65" s="48"/>
      <c r="Q65" s="48">
        <v>0</v>
      </c>
      <c r="R65" s="48">
        <v>0</v>
      </c>
      <c r="S65" s="49">
        <v>0</v>
      </c>
      <c r="T65" s="49">
        <v>0</v>
      </c>
      <c r="V65" s="6"/>
      <c r="W65" s="6"/>
      <c r="X65" s="91"/>
    </row>
    <row r="66" spans="1:24" ht="8.4499999999999993" customHeight="1" x14ac:dyDescent="0.15">
      <c r="A66" s="194" t="s">
        <v>37</v>
      </c>
      <c r="B66" s="195"/>
      <c r="C66" s="47">
        <v>1472694</v>
      </c>
      <c r="D66" s="46">
        <v>1481935</v>
      </c>
      <c r="E66" s="46">
        <v>1500232</v>
      </c>
      <c r="F66" s="46">
        <v>1512324</v>
      </c>
      <c r="G66" s="45">
        <v>1538640</v>
      </c>
      <c r="H66" s="45">
        <v>1563678</v>
      </c>
      <c r="I66" s="47">
        <v>1318015</v>
      </c>
      <c r="J66" s="46">
        <v>1358564</v>
      </c>
      <c r="K66" s="46">
        <v>1334701</v>
      </c>
      <c r="L66" s="46">
        <v>1344557</v>
      </c>
      <c r="M66" s="45">
        <v>1380307</v>
      </c>
      <c r="N66" s="45">
        <v>1406383</v>
      </c>
      <c r="O66" s="43">
        <v>89.49686764528137</v>
      </c>
      <c r="P66" s="16">
        <v>91.675005988791682</v>
      </c>
      <c r="Q66" s="16">
        <v>88.966306544587766</v>
      </c>
      <c r="R66" s="16">
        <v>88.906676082638384</v>
      </c>
      <c r="S66" s="42">
        <v>89.709548692351689</v>
      </c>
      <c r="T66" s="15">
        <v>89.940703904512304</v>
      </c>
      <c r="V66" s="6"/>
      <c r="W66" s="6"/>
      <c r="X66" s="91"/>
    </row>
    <row r="67" spans="1:24" ht="8.4499999999999993" customHeight="1" x14ac:dyDescent="0.15">
      <c r="A67" s="190" t="s">
        <v>36</v>
      </c>
      <c r="B67" s="191"/>
      <c r="C67" s="41">
        <v>1322132</v>
      </c>
      <c r="D67" s="40">
        <v>1268838</v>
      </c>
      <c r="E67" s="40">
        <v>1312664</v>
      </c>
      <c r="F67" s="40">
        <v>1306192</v>
      </c>
      <c r="G67" s="39">
        <v>1328354</v>
      </c>
      <c r="H67" s="39">
        <v>1349648</v>
      </c>
      <c r="I67" s="41">
        <v>1119593</v>
      </c>
      <c r="J67" s="40">
        <v>1148391</v>
      </c>
      <c r="K67" s="40">
        <v>1154466</v>
      </c>
      <c r="L67" s="40">
        <v>1199064</v>
      </c>
      <c r="M67" s="39">
        <v>1245686</v>
      </c>
      <c r="N67" s="39">
        <v>1283440</v>
      </c>
      <c r="O67" s="37">
        <v>84.680879065025266</v>
      </c>
      <c r="P67" s="14">
        <v>90.50729880410266</v>
      </c>
      <c r="Q67" s="14">
        <v>87.948324933113113</v>
      </c>
      <c r="R67" s="14">
        <v>91.798449232578363</v>
      </c>
      <c r="S67" s="36">
        <v>93.776658932784486</v>
      </c>
      <c r="T67" s="13">
        <v>95.09442462034545</v>
      </c>
      <c r="V67" s="6"/>
      <c r="W67" s="6"/>
      <c r="X67" s="91"/>
    </row>
    <row r="68" spans="1:24" ht="8.4499999999999993" customHeight="1" x14ac:dyDescent="0.15">
      <c r="A68" s="190" t="s">
        <v>35</v>
      </c>
      <c r="B68" s="191"/>
      <c r="C68" s="41">
        <v>2160540</v>
      </c>
      <c r="D68" s="40">
        <v>2199444</v>
      </c>
      <c r="E68" s="40">
        <v>2228998</v>
      </c>
      <c r="F68" s="40">
        <v>2255363</v>
      </c>
      <c r="G68" s="39">
        <v>2278241</v>
      </c>
      <c r="H68" s="39">
        <v>2306025</v>
      </c>
      <c r="I68" s="41">
        <v>1947707</v>
      </c>
      <c r="J68" s="40">
        <v>2004900</v>
      </c>
      <c r="K68" s="40">
        <v>2065173</v>
      </c>
      <c r="L68" s="40">
        <v>2102640</v>
      </c>
      <c r="M68" s="39">
        <v>2144214</v>
      </c>
      <c r="N68" s="39">
        <v>2188427</v>
      </c>
      <c r="O68" s="37">
        <v>90.149083099595472</v>
      </c>
      <c r="P68" s="14">
        <v>91.154855499844516</v>
      </c>
      <c r="Q68" s="14">
        <v>92.650285015957849</v>
      </c>
      <c r="R68" s="14">
        <v>93.228451473221824</v>
      </c>
      <c r="S68" s="36">
        <v>94.117084189073935</v>
      </c>
      <c r="T68" s="13">
        <v>94.900402207261408</v>
      </c>
      <c r="V68" s="6"/>
      <c r="W68" s="6"/>
      <c r="X68" s="91"/>
    </row>
    <row r="69" spans="1:24" ht="8.4499999999999993" customHeight="1" x14ac:dyDescent="0.15">
      <c r="A69" s="190" t="s">
        <v>34</v>
      </c>
      <c r="B69" s="191"/>
      <c r="C69" s="41">
        <v>948340</v>
      </c>
      <c r="D69" s="40">
        <v>947464</v>
      </c>
      <c r="E69" s="40">
        <v>946812</v>
      </c>
      <c r="F69" s="40">
        <v>948435</v>
      </c>
      <c r="G69" s="39">
        <v>951360</v>
      </c>
      <c r="H69" s="39">
        <v>957231</v>
      </c>
      <c r="I69" s="41">
        <v>796238</v>
      </c>
      <c r="J69" s="40">
        <v>803933</v>
      </c>
      <c r="K69" s="40">
        <v>813182</v>
      </c>
      <c r="L69" s="40">
        <v>816568</v>
      </c>
      <c r="M69" s="39">
        <v>826920</v>
      </c>
      <c r="N69" s="39">
        <v>840491</v>
      </c>
      <c r="O69" s="37">
        <v>83.961237530843363</v>
      </c>
      <c r="P69" s="14">
        <v>84.851033917911394</v>
      </c>
      <c r="Q69" s="14">
        <v>85.886321677376287</v>
      </c>
      <c r="R69" s="14">
        <v>86.096358738342644</v>
      </c>
      <c r="S69" s="36">
        <v>86.919778002018163</v>
      </c>
      <c r="T69" s="13">
        <v>87.8044066688187</v>
      </c>
      <c r="V69" s="6"/>
      <c r="W69" s="6"/>
      <c r="X69" s="91"/>
    </row>
    <row r="70" spans="1:24" ht="8.4499999999999993" customHeight="1" x14ac:dyDescent="0.15">
      <c r="A70" s="190" t="s">
        <v>33</v>
      </c>
      <c r="B70" s="191"/>
      <c r="C70" s="41">
        <v>2938247</v>
      </c>
      <c r="D70" s="40">
        <v>2977913</v>
      </c>
      <c r="E70" s="40">
        <v>3016697</v>
      </c>
      <c r="F70" s="40">
        <v>3065924</v>
      </c>
      <c r="G70" s="39">
        <v>3130980</v>
      </c>
      <c r="H70" s="39">
        <v>3201795</v>
      </c>
      <c r="I70" s="41">
        <v>2624212</v>
      </c>
      <c r="J70" s="40">
        <v>2685449</v>
      </c>
      <c r="K70" s="40">
        <v>2744744</v>
      </c>
      <c r="L70" s="40">
        <v>2799300</v>
      </c>
      <c r="M70" s="39">
        <v>2882682</v>
      </c>
      <c r="N70" s="39">
        <v>2961599</v>
      </c>
      <c r="O70" s="37">
        <v>89.312164702286765</v>
      </c>
      <c r="P70" s="14">
        <v>90.178893742026716</v>
      </c>
      <c r="Q70" s="14">
        <v>90.985074072735841</v>
      </c>
      <c r="R70" s="14">
        <v>91.303633097232677</v>
      </c>
      <c r="S70" s="36">
        <v>92.069639537780503</v>
      </c>
      <c r="T70" s="13">
        <v>92.498083106507451</v>
      </c>
      <c r="V70" s="6"/>
      <c r="W70" s="6"/>
      <c r="X70" s="91"/>
    </row>
    <row r="71" spans="1:24" ht="8.4499999999999993" customHeight="1" x14ac:dyDescent="0.15">
      <c r="A71" s="190" t="s">
        <v>32</v>
      </c>
      <c r="B71" s="191"/>
      <c r="C71" s="41">
        <v>722944</v>
      </c>
      <c r="D71" s="40">
        <v>738040</v>
      </c>
      <c r="E71" s="40">
        <v>748189</v>
      </c>
      <c r="F71" s="40">
        <v>761667</v>
      </c>
      <c r="G71" s="39">
        <v>770081</v>
      </c>
      <c r="H71" s="39">
        <v>779783</v>
      </c>
      <c r="I71" s="41">
        <v>630205</v>
      </c>
      <c r="J71" s="40">
        <v>647719</v>
      </c>
      <c r="K71" s="40">
        <v>662056</v>
      </c>
      <c r="L71" s="40">
        <v>680014</v>
      </c>
      <c r="M71" s="39">
        <v>692024</v>
      </c>
      <c r="N71" s="39">
        <v>709232</v>
      </c>
      <c r="O71" s="37">
        <v>87.172035455028336</v>
      </c>
      <c r="P71" s="14">
        <v>87.762045417592532</v>
      </c>
      <c r="Q71" s="14">
        <v>88.487801878937006</v>
      </c>
      <c r="R71" s="14">
        <v>89.279698345865057</v>
      </c>
      <c r="S71" s="36">
        <v>89.863793548990301</v>
      </c>
      <c r="T71" s="13">
        <v>90.952482934354819</v>
      </c>
      <c r="V71" s="6"/>
      <c r="W71" s="6"/>
      <c r="X71" s="91"/>
    </row>
    <row r="72" spans="1:24" ht="8.4499999999999993" customHeight="1" x14ac:dyDescent="0.15">
      <c r="A72" s="190" t="s">
        <v>31</v>
      </c>
      <c r="B72" s="191"/>
      <c r="C72" s="41">
        <v>1053721</v>
      </c>
      <c r="D72" s="40">
        <v>1067477</v>
      </c>
      <c r="E72" s="40">
        <v>1081498</v>
      </c>
      <c r="F72" s="40">
        <v>1107935</v>
      </c>
      <c r="G72" s="39">
        <v>1121106</v>
      </c>
      <c r="H72" s="39">
        <v>1135711</v>
      </c>
      <c r="I72" s="41">
        <v>872353</v>
      </c>
      <c r="J72" s="40">
        <v>913987</v>
      </c>
      <c r="K72" s="40">
        <v>954016</v>
      </c>
      <c r="L72" s="40">
        <v>1002014</v>
      </c>
      <c r="M72" s="39">
        <v>1048365</v>
      </c>
      <c r="N72" s="39">
        <v>1079877</v>
      </c>
      <c r="O72" s="37">
        <v>82.787853710802011</v>
      </c>
      <c r="P72" s="14">
        <v>85.621235867376996</v>
      </c>
      <c r="Q72" s="14">
        <v>88.21246086446763</v>
      </c>
      <c r="R72" s="14">
        <v>90.439782117181963</v>
      </c>
      <c r="S72" s="36">
        <v>93.511675078003336</v>
      </c>
      <c r="T72" s="13">
        <v>95.083784519125032</v>
      </c>
      <c r="V72" s="6"/>
      <c r="W72" s="6"/>
      <c r="X72" s="91"/>
    </row>
    <row r="73" spans="1:24" ht="8.4499999999999993" customHeight="1" x14ac:dyDescent="0.15">
      <c r="A73" s="190" t="s">
        <v>30</v>
      </c>
      <c r="B73" s="191"/>
      <c r="C73" s="41">
        <v>693888</v>
      </c>
      <c r="D73" s="40">
        <v>738664</v>
      </c>
      <c r="E73" s="40">
        <v>767259</v>
      </c>
      <c r="F73" s="40">
        <v>799619</v>
      </c>
      <c r="G73" s="39">
        <v>808345</v>
      </c>
      <c r="H73" s="39">
        <v>818724</v>
      </c>
      <c r="I73" s="41">
        <v>550693</v>
      </c>
      <c r="J73" s="40">
        <v>581009</v>
      </c>
      <c r="K73" s="40">
        <v>614331</v>
      </c>
      <c r="L73" s="40">
        <v>604494</v>
      </c>
      <c r="M73" s="39">
        <v>629297</v>
      </c>
      <c r="N73" s="39">
        <v>651391</v>
      </c>
      <c r="O73" s="37">
        <v>79.363384292565954</v>
      </c>
      <c r="P73" s="14">
        <v>78.656737027931513</v>
      </c>
      <c r="Q73" s="14">
        <v>80.068268993912099</v>
      </c>
      <c r="R73" s="14">
        <v>75.597753430071066</v>
      </c>
      <c r="S73" s="36">
        <v>77.850051648739097</v>
      </c>
      <c r="T73" s="13">
        <v>79.561732647387885</v>
      </c>
      <c r="V73" s="6"/>
      <c r="W73" s="6"/>
      <c r="X73" s="91"/>
    </row>
    <row r="74" spans="1:24" ht="8.4499999999999993" customHeight="1" x14ac:dyDescent="0.15">
      <c r="A74" s="190" t="s">
        <v>2</v>
      </c>
      <c r="B74" s="191"/>
      <c r="C74" s="41">
        <v>589617</v>
      </c>
      <c r="D74" s="40">
        <v>598831</v>
      </c>
      <c r="E74" s="40">
        <v>606402</v>
      </c>
      <c r="F74" s="40">
        <v>611405</v>
      </c>
      <c r="G74" s="39">
        <v>620995</v>
      </c>
      <c r="H74" s="39">
        <v>630286</v>
      </c>
      <c r="I74" s="41">
        <v>543334</v>
      </c>
      <c r="J74" s="40">
        <v>555826</v>
      </c>
      <c r="K74" s="40">
        <v>566650</v>
      </c>
      <c r="L74" s="40">
        <v>575866</v>
      </c>
      <c r="M74" s="39">
        <v>586064</v>
      </c>
      <c r="N74" s="39">
        <v>596305</v>
      </c>
      <c r="O74" s="37">
        <v>92.150328094339201</v>
      </c>
      <c r="P74" s="14">
        <v>92.81850805986997</v>
      </c>
      <c r="Q74" s="14">
        <v>93.44461264969442</v>
      </c>
      <c r="R74" s="14">
        <v>94.187322642111198</v>
      </c>
      <c r="S74" s="36">
        <v>94.374994967753366</v>
      </c>
      <c r="T74" s="13">
        <v>94.60863798339166</v>
      </c>
      <c r="V74" s="6"/>
      <c r="W74" s="6"/>
      <c r="X74" s="91"/>
    </row>
    <row r="75" spans="1:24" ht="8.4499999999999993" customHeight="1" x14ac:dyDescent="0.15">
      <c r="A75" s="190" t="s">
        <v>1</v>
      </c>
      <c r="B75" s="191"/>
      <c r="C75" s="41">
        <v>524208</v>
      </c>
      <c r="D75" s="40">
        <v>538272</v>
      </c>
      <c r="E75" s="40">
        <v>555463</v>
      </c>
      <c r="F75" s="40">
        <v>569337</v>
      </c>
      <c r="G75" s="39">
        <v>580805</v>
      </c>
      <c r="H75" s="39">
        <v>594368</v>
      </c>
      <c r="I75" s="41">
        <v>438866</v>
      </c>
      <c r="J75" s="40">
        <v>458143</v>
      </c>
      <c r="K75" s="40">
        <v>484341</v>
      </c>
      <c r="L75" s="40">
        <v>505908</v>
      </c>
      <c r="M75" s="39">
        <v>525403</v>
      </c>
      <c r="N75" s="39">
        <v>546091</v>
      </c>
      <c r="O75" s="37">
        <v>83.719821139700272</v>
      </c>
      <c r="P75" s="14">
        <v>85.113660008322938</v>
      </c>
      <c r="Q75" s="14">
        <v>87.195906838079225</v>
      </c>
      <c r="R75" s="14">
        <v>88.85914669167822</v>
      </c>
      <c r="S75" s="36">
        <v>90.461170272294495</v>
      </c>
      <c r="T75" s="13">
        <v>91.877590987401746</v>
      </c>
      <c r="V75" s="6"/>
      <c r="W75" s="6"/>
      <c r="X75" s="91"/>
    </row>
    <row r="76" spans="1:24" ht="8.4499999999999993" customHeight="1" x14ac:dyDescent="0.15">
      <c r="A76" s="190" t="s">
        <v>71</v>
      </c>
      <c r="B76" s="191"/>
      <c r="C76" s="41">
        <v>552196</v>
      </c>
      <c r="D76" s="40">
        <v>562127</v>
      </c>
      <c r="E76" s="40">
        <v>572767</v>
      </c>
      <c r="F76" s="40">
        <v>585103</v>
      </c>
      <c r="G76" s="39">
        <v>595216</v>
      </c>
      <c r="H76" s="39">
        <v>602252</v>
      </c>
      <c r="I76" s="41">
        <v>312605</v>
      </c>
      <c r="J76" s="40">
        <v>332325</v>
      </c>
      <c r="K76" s="40">
        <v>353601</v>
      </c>
      <c r="L76" s="40">
        <v>371492</v>
      </c>
      <c r="M76" s="39">
        <v>370095</v>
      </c>
      <c r="N76" s="39">
        <v>390475</v>
      </c>
      <c r="O76" s="37">
        <v>56.611239487428378</v>
      </c>
      <c r="P76" s="14">
        <v>59.119202600124176</v>
      </c>
      <c r="Q76" s="14">
        <v>61.735574849808039</v>
      </c>
      <c r="R76" s="14">
        <v>63.491727097622132</v>
      </c>
      <c r="S76" s="36">
        <v>62.178268057310284</v>
      </c>
      <c r="T76" s="13">
        <v>64.835816236392745</v>
      </c>
      <c r="V76" s="6"/>
      <c r="W76" s="6"/>
      <c r="X76" s="91"/>
    </row>
    <row r="77" spans="1:24" ht="8.4499999999999993" customHeight="1" x14ac:dyDescent="0.15">
      <c r="A77" s="192" t="s">
        <v>76</v>
      </c>
      <c r="B77" s="193"/>
      <c r="C77" s="35">
        <v>640617</v>
      </c>
      <c r="D77" s="34">
        <v>654358</v>
      </c>
      <c r="E77" s="34">
        <v>672489</v>
      </c>
      <c r="F77" s="34">
        <v>699770</v>
      </c>
      <c r="G77" s="33">
        <v>722775</v>
      </c>
      <c r="H77" s="33">
        <v>753597</v>
      </c>
      <c r="I77" s="35">
        <v>333888</v>
      </c>
      <c r="J77" s="34">
        <v>362323</v>
      </c>
      <c r="K77" s="34">
        <v>401137</v>
      </c>
      <c r="L77" s="34">
        <v>443245</v>
      </c>
      <c r="M77" s="33">
        <v>479925</v>
      </c>
      <c r="N77" s="33">
        <v>525359</v>
      </c>
      <c r="O77" s="31">
        <v>52.11975330033389</v>
      </c>
      <c r="P77" s="12">
        <v>55.370760348310867</v>
      </c>
      <c r="Q77" s="12">
        <v>59.649600216509114</v>
      </c>
      <c r="R77" s="12">
        <v>63.341526501564807</v>
      </c>
      <c r="S77" s="30">
        <v>66.400332053543636</v>
      </c>
      <c r="T77" s="11">
        <v>69.713520621764673</v>
      </c>
      <c r="V77" s="6"/>
      <c r="W77" s="6"/>
      <c r="X77" s="91"/>
    </row>
    <row r="78" spans="1:24" ht="9.6" customHeight="1" x14ac:dyDescent="0.15">
      <c r="A78" s="97" t="s">
        <v>0</v>
      </c>
      <c r="B78" s="98"/>
      <c r="C78" s="10"/>
      <c r="D78" s="10"/>
      <c r="E78" s="10"/>
      <c r="F78" s="10"/>
      <c r="G78" s="10"/>
      <c r="H78" s="10"/>
      <c r="I78" s="122" t="s">
        <v>77</v>
      </c>
      <c r="J78" s="10"/>
      <c r="K78" s="10"/>
      <c r="L78" s="10"/>
      <c r="M78" s="10"/>
      <c r="N78" s="10"/>
      <c r="O78" s="10"/>
      <c r="P78" s="10"/>
      <c r="Q78" s="2"/>
      <c r="R78" s="1"/>
      <c r="S78" s="1"/>
      <c r="T78" s="1"/>
    </row>
    <row r="79" spans="1:24" x14ac:dyDescent="0.15"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</row>
    <row r="80" spans="1:24" s="4" customFormat="1" ht="11.25" customHeight="1" x14ac:dyDescent="0.15">
      <c r="A80" s="99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</row>
    <row r="81" spans="1:20" x14ac:dyDescent="0.15">
      <c r="O81" s="1"/>
      <c r="P81" s="1"/>
      <c r="Q81" s="1"/>
      <c r="R81" s="1"/>
      <c r="S81" s="1"/>
      <c r="T81" s="1"/>
    </row>
    <row r="82" spans="1:20" x14ac:dyDescent="0.15">
      <c r="O82" s="1"/>
      <c r="P82" s="1"/>
      <c r="Q82" s="1"/>
      <c r="R82" s="1"/>
      <c r="S82" s="1"/>
      <c r="T82" s="1"/>
    </row>
    <row r="83" spans="1:20" s="4" customFormat="1" ht="11.25" customHeight="1" x14ac:dyDescent="0.15">
      <c r="A83" s="99"/>
      <c r="C83" s="8"/>
      <c r="D83" s="8"/>
      <c r="E83" s="8"/>
      <c r="F83" s="8"/>
      <c r="G83" s="8"/>
      <c r="H83" s="8"/>
      <c r="I83" s="7"/>
      <c r="J83" s="7"/>
      <c r="K83" s="7"/>
      <c r="L83" s="7"/>
      <c r="M83" s="7"/>
      <c r="N83" s="7"/>
    </row>
    <row r="84" spans="1:20" x14ac:dyDescent="0.15">
      <c r="O84" s="1"/>
      <c r="P84" s="1"/>
      <c r="Q84" s="1"/>
      <c r="R84" s="1"/>
      <c r="S84" s="1"/>
      <c r="T84" s="1"/>
    </row>
    <row r="85" spans="1:20" x14ac:dyDescent="0.15">
      <c r="O85" s="1"/>
      <c r="P85" s="1"/>
      <c r="Q85" s="1"/>
      <c r="R85" s="1"/>
      <c r="S85" s="1"/>
      <c r="T85" s="1"/>
    </row>
    <row r="86" spans="1:20" x14ac:dyDescent="0.15">
      <c r="O86" s="1"/>
      <c r="P86" s="1"/>
      <c r="Q86" s="1"/>
      <c r="R86" s="1"/>
      <c r="S86" s="1"/>
      <c r="T86" s="1"/>
    </row>
    <row r="87" spans="1:20" x14ac:dyDescent="0.15">
      <c r="O87" s="1"/>
      <c r="P87" s="1"/>
      <c r="Q87" s="1"/>
      <c r="R87" s="1"/>
      <c r="S87" s="1"/>
      <c r="T87" s="1"/>
    </row>
    <row r="88" spans="1:20" x14ac:dyDescent="0.15">
      <c r="O88" s="1"/>
      <c r="P88" s="1"/>
      <c r="Q88" s="1"/>
      <c r="R88" s="1"/>
      <c r="S88" s="1"/>
      <c r="T88" s="1"/>
    </row>
    <row r="89" spans="1:20" x14ac:dyDescent="0.15">
      <c r="O89" s="1"/>
      <c r="P89" s="1"/>
      <c r="Q89" s="1"/>
      <c r="R89" s="1"/>
      <c r="S89" s="1"/>
      <c r="T89" s="1"/>
    </row>
    <row r="90" spans="1:20" x14ac:dyDescent="0.15">
      <c r="O90" s="1"/>
      <c r="P90" s="1"/>
      <c r="Q90" s="1"/>
      <c r="R90" s="1"/>
      <c r="S90" s="1"/>
      <c r="T90" s="1"/>
    </row>
    <row r="91" spans="1:20" x14ac:dyDescent="0.15">
      <c r="O91" s="1"/>
      <c r="P91" s="1"/>
      <c r="Q91" s="1"/>
      <c r="R91" s="1"/>
      <c r="S91" s="1"/>
      <c r="T91" s="1"/>
    </row>
    <row r="92" spans="1:20" x14ac:dyDescent="0.15">
      <c r="O92" s="1"/>
      <c r="P92" s="1"/>
      <c r="Q92" s="1"/>
      <c r="R92" s="1"/>
      <c r="S92" s="1"/>
      <c r="T92" s="1"/>
    </row>
    <row r="93" spans="1:20" x14ac:dyDescent="0.15">
      <c r="O93" s="1"/>
      <c r="P93" s="1"/>
      <c r="Q93" s="1"/>
      <c r="R93" s="1"/>
      <c r="S93" s="1"/>
      <c r="T93" s="1"/>
    </row>
  </sheetData>
  <mergeCells count="31">
    <mergeCell ref="O3:T3"/>
    <mergeCell ref="A5:A10"/>
    <mergeCell ref="A36:A38"/>
    <mergeCell ref="A3:A4"/>
    <mergeCell ref="B3:B4"/>
    <mergeCell ref="C3:H3"/>
    <mergeCell ref="I3:N3"/>
    <mergeCell ref="A11:A13"/>
    <mergeCell ref="A14:A20"/>
    <mergeCell ref="A21:B21"/>
    <mergeCell ref="A27:A29"/>
    <mergeCell ref="A30:A35"/>
    <mergeCell ref="A70:B70"/>
    <mergeCell ref="A39:A42"/>
    <mergeCell ref="A43:A46"/>
    <mergeCell ref="A47:A51"/>
    <mergeCell ref="A52:A57"/>
    <mergeCell ref="A58:A61"/>
    <mergeCell ref="A63:B63"/>
    <mergeCell ref="A64:B64"/>
    <mergeCell ref="A66:B66"/>
    <mergeCell ref="A67:B67"/>
    <mergeCell ref="A68:B68"/>
    <mergeCell ref="A69:B69"/>
    <mergeCell ref="A77:B77"/>
    <mergeCell ref="A71:B71"/>
    <mergeCell ref="A72:B72"/>
    <mergeCell ref="A73:B73"/>
    <mergeCell ref="A74:B74"/>
    <mergeCell ref="A75:B75"/>
    <mergeCell ref="A76:B76"/>
  </mergeCells>
  <phoneticPr fontId="7" type="noConversion"/>
  <printOptions horizontalCentered="1"/>
  <pageMargins left="1.1811023622047245" right="1.1811023622047245" top="1.3779527559055118" bottom="1.3779527559055118" header="0" footer="0.98425196850393704"/>
  <pageSetup paperSize="9" scale="83" firstPageNumber="144" fitToWidth="2" orientation="portrait" useFirstPageNumber="1" horizontalDpi="300" verticalDpi="300" r:id="rId1"/>
  <headerFooter alignWithMargins="0">
    <oddFooter>&amp;C&amp;"가을체,보통"&amp;7&amp;P</oddFooter>
  </headerFooter>
  <colBreaks count="1" manualBreakCount="1">
    <brk id="8" max="77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ED5ED-2561-4934-A54F-E4F881AAC8DB}">
  <sheetPr codeName="Sheet67">
    <pageSetUpPr fitToPage="1"/>
  </sheetPr>
  <dimension ref="A1:AC93"/>
  <sheetViews>
    <sheetView showZeros="0" zoomScaleNormal="100" workbookViewId="0">
      <selection activeCell="D32" sqref="D32"/>
    </sheetView>
  </sheetViews>
  <sheetFormatPr defaultColWidth="8.77734375" defaultRowHeight="9" x14ac:dyDescent="0.15"/>
  <cols>
    <col min="1" max="1" width="8.33203125" style="3" customWidth="1"/>
    <col min="2" max="2" width="8.44140625" style="3" customWidth="1"/>
    <col min="3" max="8" width="6.44140625" style="3" customWidth="1"/>
    <col min="9" max="14" width="5.44140625" style="3" customWidth="1"/>
    <col min="15" max="20" width="3.21875" style="3" customWidth="1"/>
    <col min="21" max="21" width="3.44140625" style="1" customWidth="1"/>
    <col min="22" max="24" width="3.6640625" style="1" customWidth="1"/>
    <col min="25" max="256" width="8.77734375" style="1"/>
    <col min="257" max="257" width="8.33203125" style="1" customWidth="1"/>
    <col min="258" max="258" width="8.44140625" style="1" customWidth="1"/>
    <col min="259" max="264" width="6.44140625" style="1" customWidth="1"/>
    <col min="265" max="270" width="5.44140625" style="1" customWidth="1"/>
    <col min="271" max="276" width="3.21875" style="1" customWidth="1"/>
    <col min="277" max="277" width="3.44140625" style="1" customWidth="1"/>
    <col min="278" max="280" width="3.6640625" style="1" customWidth="1"/>
    <col min="281" max="512" width="8.77734375" style="1"/>
    <col min="513" max="513" width="8.33203125" style="1" customWidth="1"/>
    <col min="514" max="514" width="8.44140625" style="1" customWidth="1"/>
    <col min="515" max="520" width="6.44140625" style="1" customWidth="1"/>
    <col min="521" max="526" width="5.44140625" style="1" customWidth="1"/>
    <col min="527" max="532" width="3.21875" style="1" customWidth="1"/>
    <col min="533" max="533" width="3.44140625" style="1" customWidth="1"/>
    <col min="534" max="536" width="3.6640625" style="1" customWidth="1"/>
    <col min="537" max="768" width="8.77734375" style="1"/>
    <col min="769" max="769" width="8.33203125" style="1" customWidth="1"/>
    <col min="770" max="770" width="8.44140625" style="1" customWidth="1"/>
    <col min="771" max="776" width="6.44140625" style="1" customWidth="1"/>
    <col min="777" max="782" width="5.44140625" style="1" customWidth="1"/>
    <col min="783" max="788" width="3.21875" style="1" customWidth="1"/>
    <col min="789" max="789" width="3.44140625" style="1" customWidth="1"/>
    <col min="790" max="792" width="3.6640625" style="1" customWidth="1"/>
    <col min="793" max="1024" width="8.77734375" style="1"/>
    <col min="1025" max="1025" width="8.33203125" style="1" customWidth="1"/>
    <col min="1026" max="1026" width="8.44140625" style="1" customWidth="1"/>
    <col min="1027" max="1032" width="6.44140625" style="1" customWidth="1"/>
    <col min="1033" max="1038" width="5.44140625" style="1" customWidth="1"/>
    <col min="1039" max="1044" width="3.21875" style="1" customWidth="1"/>
    <col min="1045" max="1045" width="3.44140625" style="1" customWidth="1"/>
    <col min="1046" max="1048" width="3.6640625" style="1" customWidth="1"/>
    <col min="1049" max="1280" width="8.77734375" style="1"/>
    <col min="1281" max="1281" width="8.33203125" style="1" customWidth="1"/>
    <col min="1282" max="1282" width="8.44140625" style="1" customWidth="1"/>
    <col min="1283" max="1288" width="6.44140625" style="1" customWidth="1"/>
    <col min="1289" max="1294" width="5.44140625" style="1" customWidth="1"/>
    <col min="1295" max="1300" width="3.21875" style="1" customWidth="1"/>
    <col min="1301" max="1301" width="3.44140625" style="1" customWidth="1"/>
    <col min="1302" max="1304" width="3.6640625" style="1" customWidth="1"/>
    <col min="1305" max="1536" width="8.77734375" style="1"/>
    <col min="1537" max="1537" width="8.33203125" style="1" customWidth="1"/>
    <col min="1538" max="1538" width="8.44140625" style="1" customWidth="1"/>
    <col min="1539" max="1544" width="6.44140625" style="1" customWidth="1"/>
    <col min="1545" max="1550" width="5.44140625" style="1" customWidth="1"/>
    <col min="1551" max="1556" width="3.21875" style="1" customWidth="1"/>
    <col min="1557" max="1557" width="3.44140625" style="1" customWidth="1"/>
    <col min="1558" max="1560" width="3.6640625" style="1" customWidth="1"/>
    <col min="1561" max="1792" width="8.77734375" style="1"/>
    <col min="1793" max="1793" width="8.33203125" style="1" customWidth="1"/>
    <col min="1794" max="1794" width="8.44140625" style="1" customWidth="1"/>
    <col min="1795" max="1800" width="6.44140625" style="1" customWidth="1"/>
    <col min="1801" max="1806" width="5.44140625" style="1" customWidth="1"/>
    <col min="1807" max="1812" width="3.21875" style="1" customWidth="1"/>
    <col min="1813" max="1813" width="3.44140625" style="1" customWidth="1"/>
    <col min="1814" max="1816" width="3.6640625" style="1" customWidth="1"/>
    <col min="1817" max="2048" width="8.77734375" style="1"/>
    <col min="2049" max="2049" width="8.33203125" style="1" customWidth="1"/>
    <col min="2050" max="2050" width="8.44140625" style="1" customWidth="1"/>
    <col min="2051" max="2056" width="6.44140625" style="1" customWidth="1"/>
    <col min="2057" max="2062" width="5.44140625" style="1" customWidth="1"/>
    <col min="2063" max="2068" width="3.21875" style="1" customWidth="1"/>
    <col min="2069" max="2069" width="3.44140625" style="1" customWidth="1"/>
    <col min="2070" max="2072" width="3.6640625" style="1" customWidth="1"/>
    <col min="2073" max="2304" width="8.77734375" style="1"/>
    <col min="2305" max="2305" width="8.33203125" style="1" customWidth="1"/>
    <col min="2306" max="2306" width="8.44140625" style="1" customWidth="1"/>
    <col min="2307" max="2312" width="6.44140625" style="1" customWidth="1"/>
    <col min="2313" max="2318" width="5.44140625" style="1" customWidth="1"/>
    <col min="2319" max="2324" width="3.21875" style="1" customWidth="1"/>
    <col min="2325" max="2325" width="3.44140625" style="1" customWidth="1"/>
    <col min="2326" max="2328" width="3.6640625" style="1" customWidth="1"/>
    <col min="2329" max="2560" width="8.77734375" style="1"/>
    <col min="2561" max="2561" width="8.33203125" style="1" customWidth="1"/>
    <col min="2562" max="2562" width="8.44140625" style="1" customWidth="1"/>
    <col min="2563" max="2568" width="6.44140625" style="1" customWidth="1"/>
    <col min="2569" max="2574" width="5.44140625" style="1" customWidth="1"/>
    <col min="2575" max="2580" width="3.21875" style="1" customWidth="1"/>
    <col min="2581" max="2581" width="3.44140625" style="1" customWidth="1"/>
    <col min="2582" max="2584" width="3.6640625" style="1" customWidth="1"/>
    <col min="2585" max="2816" width="8.77734375" style="1"/>
    <col min="2817" max="2817" width="8.33203125" style="1" customWidth="1"/>
    <col min="2818" max="2818" width="8.44140625" style="1" customWidth="1"/>
    <col min="2819" max="2824" width="6.44140625" style="1" customWidth="1"/>
    <col min="2825" max="2830" width="5.44140625" style="1" customWidth="1"/>
    <col min="2831" max="2836" width="3.21875" style="1" customWidth="1"/>
    <col min="2837" max="2837" width="3.44140625" style="1" customWidth="1"/>
    <col min="2838" max="2840" width="3.6640625" style="1" customWidth="1"/>
    <col min="2841" max="3072" width="8.77734375" style="1"/>
    <col min="3073" max="3073" width="8.33203125" style="1" customWidth="1"/>
    <col min="3074" max="3074" width="8.44140625" style="1" customWidth="1"/>
    <col min="3075" max="3080" width="6.44140625" style="1" customWidth="1"/>
    <col min="3081" max="3086" width="5.44140625" style="1" customWidth="1"/>
    <col min="3087" max="3092" width="3.21875" style="1" customWidth="1"/>
    <col min="3093" max="3093" width="3.44140625" style="1" customWidth="1"/>
    <col min="3094" max="3096" width="3.6640625" style="1" customWidth="1"/>
    <col min="3097" max="3328" width="8.77734375" style="1"/>
    <col min="3329" max="3329" width="8.33203125" style="1" customWidth="1"/>
    <col min="3330" max="3330" width="8.44140625" style="1" customWidth="1"/>
    <col min="3331" max="3336" width="6.44140625" style="1" customWidth="1"/>
    <col min="3337" max="3342" width="5.44140625" style="1" customWidth="1"/>
    <col min="3343" max="3348" width="3.21875" style="1" customWidth="1"/>
    <col min="3349" max="3349" width="3.44140625" style="1" customWidth="1"/>
    <col min="3350" max="3352" width="3.6640625" style="1" customWidth="1"/>
    <col min="3353" max="3584" width="8.77734375" style="1"/>
    <col min="3585" max="3585" width="8.33203125" style="1" customWidth="1"/>
    <col min="3586" max="3586" width="8.44140625" style="1" customWidth="1"/>
    <col min="3587" max="3592" width="6.44140625" style="1" customWidth="1"/>
    <col min="3593" max="3598" width="5.44140625" style="1" customWidth="1"/>
    <col min="3599" max="3604" width="3.21875" style="1" customWidth="1"/>
    <col min="3605" max="3605" width="3.44140625" style="1" customWidth="1"/>
    <col min="3606" max="3608" width="3.6640625" style="1" customWidth="1"/>
    <col min="3609" max="3840" width="8.77734375" style="1"/>
    <col min="3841" max="3841" width="8.33203125" style="1" customWidth="1"/>
    <col min="3842" max="3842" width="8.44140625" style="1" customWidth="1"/>
    <col min="3843" max="3848" width="6.44140625" style="1" customWidth="1"/>
    <col min="3849" max="3854" width="5.44140625" style="1" customWidth="1"/>
    <col min="3855" max="3860" width="3.21875" style="1" customWidth="1"/>
    <col min="3861" max="3861" width="3.44140625" style="1" customWidth="1"/>
    <col min="3862" max="3864" width="3.6640625" style="1" customWidth="1"/>
    <col min="3865" max="4096" width="8.77734375" style="1"/>
    <col min="4097" max="4097" width="8.33203125" style="1" customWidth="1"/>
    <col min="4098" max="4098" width="8.44140625" style="1" customWidth="1"/>
    <col min="4099" max="4104" width="6.44140625" style="1" customWidth="1"/>
    <col min="4105" max="4110" width="5.44140625" style="1" customWidth="1"/>
    <col min="4111" max="4116" width="3.21875" style="1" customWidth="1"/>
    <col min="4117" max="4117" width="3.44140625" style="1" customWidth="1"/>
    <col min="4118" max="4120" width="3.6640625" style="1" customWidth="1"/>
    <col min="4121" max="4352" width="8.77734375" style="1"/>
    <col min="4353" max="4353" width="8.33203125" style="1" customWidth="1"/>
    <col min="4354" max="4354" width="8.44140625" style="1" customWidth="1"/>
    <col min="4355" max="4360" width="6.44140625" style="1" customWidth="1"/>
    <col min="4361" max="4366" width="5.44140625" style="1" customWidth="1"/>
    <col min="4367" max="4372" width="3.21875" style="1" customWidth="1"/>
    <col min="4373" max="4373" width="3.44140625" style="1" customWidth="1"/>
    <col min="4374" max="4376" width="3.6640625" style="1" customWidth="1"/>
    <col min="4377" max="4608" width="8.77734375" style="1"/>
    <col min="4609" max="4609" width="8.33203125" style="1" customWidth="1"/>
    <col min="4610" max="4610" width="8.44140625" style="1" customWidth="1"/>
    <col min="4611" max="4616" width="6.44140625" style="1" customWidth="1"/>
    <col min="4617" max="4622" width="5.44140625" style="1" customWidth="1"/>
    <col min="4623" max="4628" width="3.21875" style="1" customWidth="1"/>
    <col min="4629" max="4629" width="3.44140625" style="1" customWidth="1"/>
    <col min="4630" max="4632" width="3.6640625" style="1" customWidth="1"/>
    <col min="4633" max="4864" width="8.77734375" style="1"/>
    <col min="4865" max="4865" width="8.33203125" style="1" customWidth="1"/>
    <col min="4866" max="4866" width="8.44140625" style="1" customWidth="1"/>
    <col min="4867" max="4872" width="6.44140625" style="1" customWidth="1"/>
    <col min="4873" max="4878" width="5.44140625" style="1" customWidth="1"/>
    <col min="4879" max="4884" width="3.21875" style="1" customWidth="1"/>
    <col min="4885" max="4885" width="3.44140625" style="1" customWidth="1"/>
    <col min="4886" max="4888" width="3.6640625" style="1" customWidth="1"/>
    <col min="4889" max="5120" width="8.77734375" style="1"/>
    <col min="5121" max="5121" width="8.33203125" style="1" customWidth="1"/>
    <col min="5122" max="5122" width="8.44140625" style="1" customWidth="1"/>
    <col min="5123" max="5128" width="6.44140625" style="1" customWidth="1"/>
    <col min="5129" max="5134" width="5.44140625" style="1" customWidth="1"/>
    <col min="5135" max="5140" width="3.21875" style="1" customWidth="1"/>
    <col min="5141" max="5141" width="3.44140625" style="1" customWidth="1"/>
    <col min="5142" max="5144" width="3.6640625" style="1" customWidth="1"/>
    <col min="5145" max="5376" width="8.77734375" style="1"/>
    <col min="5377" max="5377" width="8.33203125" style="1" customWidth="1"/>
    <col min="5378" max="5378" width="8.44140625" style="1" customWidth="1"/>
    <col min="5379" max="5384" width="6.44140625" style="1" customWidth="1"/>
    <col min="5385" max="5390" width="5.44140625" style="1" customWidth="1"/>
    <col min="5391" max="5396" width="3.21875" style="1" customWidth="1"/>
    <col min="5397" max="5397" width="3.44140625" style="1" customWidth="1"/>
    <col min="5398" max="5400" width="3.6640625" style="1" customWidth="1"/>
    <col min="5401" max="5632" width="8.77734375" style="1"/>
    <col min="5633" max="5633" width="8.33203125" style="1" customWidth="1"/>
    <col min="5634" max="5634" width="8.44140625" style="1" customWidth="1"/>
    <col min="5635" max="5640" width="6.44140625" style="1" customWidth="1"/>
    <col min="5641" max="5646" width="5.44140625" style="1" customWidth="1"/>
    <col min="5647" max="5652" width="3.21875" style="1" customWidth="1"/>
    <col min="5653" max="5653" width="3.44140625" style="1" customWidth="1"/>
    <col min="5654" max="5656" width="3.6640625" style="1" customWidth="1"/>
    <col min="5657" max="5888" width="8.77734375" style="1"/>
    <col min="5889" max="5889" width="8.33203125" style="1" customWidth="1"/>
    <col min="5890" max="5890" width="8.44140625" style="1" customWidth="1"/>
    <col min="5891" max="5896" width="6.44140625" style="1" customWidth="1"/>
    <col min="5897" max="5902" width="5.44140625" style="1" customWidth="1"/>
    <col min="5903" max="5908" width="3.21875" style="1" customWidth="1"/>
    <col min="5909" max="5909" width="3.44140625" style="1" customWidth="1"/>
    <col min="5910" max="5912" width="3.6640625" style="1" customWidth="1"/>
    <col min="5913" max="6144" width="8.77734375" style="1"/>
    <col min="6145" max="6145" width="8.33203125" style="1" customWidth="1"/>
    <col min="6146" max="6146" width="8.44140625" style="1" customWidth="1"/>
    <col min="6147" max="6152" width="6.44140625" style="1" customWidth="1"/>
    <col min="6153" max="6158" width="5.44140625" style="1" customWidth="1"/>
    <col min="6159" max="6164" width="3.21875" style="1" customWidth="1"/>
    <col min="6165" max="6165" width="3.44140625" style="1" customWidth="1"/>
    <col min="6166" max="6168" width="3.6640625" style="1" customWidth="1"/>
    <col min="6169" max="6400" width="8.77734375" style="1"/>
    <col min="6401" max="6401" width="8.33203125" style="1" customWidth="1"/>
    <col min="6402" max="6402" width="8.44140625" style="1" customWidth="1"/>
    <col min="6403" max="6408" width="6.44140625" style="1" customWidth="1"/>
    <col min="6409" max="6414" width="5.44140625" style="1" customWidth="1"/>
    <col min="6415" max="6420" width="3.21875" style="1" customWidth="1"/>
    <col min="6421" max="6421" width="3.44140625" style="1" customWidth="1"/>
    <col min="6422" max="6424" width="3.6640625" style="1" customWidth="1"/>
    <col min="6425" max="6656" width="8.77734375" style="1"/>
    <col min="6657" max="6657" width="8.33203125" style="1" customWidth="1"/>
    <col min="6658" max="6658" width="8.44140625" style="1" customWidth="1"/>
    <col min="6659" max="6664" width="6.44140625" style="1" customWidth="1"/>
    <col min="6665" max="6670" width="5.44140625" style="1" customWidth="1"/>
    <col min="6671" max="6676" width="3.21875" style="1" customWidth="1"/>
    <col min="6677" max="6677" width="3.44140625" style="1" customWidth="1"/>
    <col min="6678" max="6680" width="3.6640625" style="1" customWidth="1"/>
    <col min="6681" max="6912" width="8.77734375" style="1"/>
    <col min="6913" max="6913" width="8.33203125" style="1" customWidth="1"/>
    <col min="6914" max="6914" width="8.44140625" style="1" customWidth="1"/>
    <col min="6915" max="6920" width="6.44140625" style="1" customWidth="1"/>
    <col min="6921" max="6926" width="5.44140625" style="1" customWidth="1"/>
    <col min="6927" max="6932" width="3.21875" style="1" customWidth="1"/>
    <col min="6933" max="6933" width="3.44140625" style="1" customWidth="1"/>
    <col min="6934" max="6936" width="3.6640625" style="1" customWidth="1"/>
    <col min="6937" max="7168" width="8.77734375" style="1"/>
    <col min="7169" max="7169" width="8.33203125" style="1" customWidth="1"/>
    <col min="7170" max="7170" width="8.44140625" style="1" customWidth="1"/>
    <col min="7171" max="7176" width="6.44140625" style="1" customWidth="1"/>
    <col min="7177" max="7182" width="5.44140625" style="1" customWidth="1"/>
    <col min="7183" max="7188" width="3.21875" style="1" customWidth="1"/>
    <col min="7189" max="7189" width="3.44140625" style="1" customWidth="1"/>
    <col min="7190" max="7192" width="3.6640625" style="1" customWidth="1"/>
    <col min="7193" max="7424" width="8.77734375" style="1"/>
    <col min="7425" max="7425" width="8.33203125" style="1" customWidth="1"/>
    <col min="7426" max="7426" width="8.44140625" style="1" customWidth="1"/>
    <col min="7427" max="7432" width="6.44140625" style="1" customWidth="1"/>
    <col min="7433" max="7438" width="5.44140625" style="1" customWidth="1"/>
    <col min="7439" max="7444" width="3.21875" style="1" customWidth="1"/>
    <col min="7445" max="7445" width="3.44140625" style="1" customWidth="1"/>
    <col min="7446" max="7448" width="3.6640625" style="1" customWidth="1"/>
    <col min="7449" max="7680" width="8.77734375" style="1"/>
    <col min="7681" max="7681" width="8.33203125" style="1" customWidth="1"/>
    <col min="7682" max="7682" width="8.44140625" style="1" customWidth="1"/>
    <col min="7683" max="7688" width="6.44140625" style="1" customWidth="1"/>
    <col min="7689" max="7694" width="5.44140625" style="1" customWidth="1"/>
    <col min="7695" max="7700" width="3.21875" style="1" customWidth="1"/>
    <col min="7701" max="7701" width="3.44140625" style="1" customWidth="1"/>
    <col min="7702" max="7704" width="3.6640625" style="1" customWidth="1"/>
    <col min="7705" max="7936" width="8.77734375" style="1"/>
    <col min="7937" max="7937" width="8.33203125" style="1" customWidth="1"/>
    <col min="7938" max="7938" width="8.44140625" style="1" customWidth="1"/>
    <col min="7939" max="7944" width="6.44140625" style="1" customWidth="1"/>
    <col min="7945" max="7950" width="5.44140625" style="1" customWidth="1"/>
    <col min="7951" max="7956" width="3.21875" style="1" customWidth="1"/>
    <col min="7957" max="7957" width="3.44140625" style="1" customWidth="1"/>
    <col min="7958" max="7960" width="3.6640625" style="1" customWidth="1"/>
    <col min="7961" max="8192" width="8.77734375" style="1"/>
    <col min="8193" max="8193" width="8.33203125" style="1" customWidth="1"/>
    <col min="8194" max="8194" width="8.44140625" style="1" customWidth="1"/>
    <col min="8195" max="8200" width="6.44140625" style="1" customWidth="1"/>
    <col min="8201" max="8206" width="5.44140625" style="1" customWidth="1"/>
    <col min="8207" max="8212" width="3.21875" style="1" customWidth="1"/>
    <col min="8213" max="8213" width="3.44140625" style="1" customWidth="1"/>
    <col min="8214" max="8216" width="3.6640625" style="1" customWidth="1"/>
    <col min="8217" max="8448" width="8.77734375" style="1"/>
    <col min="8449" max="8449" width="8.33203125" style="1" customWidth="1"/>
    <col min="8450" max="8450" width="8.44140625" style="1" customWidth="1"/>
    <col min="8451" max="8456" width="6.44140625" style="1" customWidth="1"/>
    <col min="8457" max="8462" width="5.44140625" style="1" customWidth="1"/>
    <col min="8463" max="8468" width="3.21875" style="1" customWidth="1"/>
    <col min="8469" max="8469" width="3.44140625" style="1" customWidth="1"/>
    <col min="8470" max="8472" width="3.6640625" style="1" customWidth="1"/>
    <col min="8473" max="8704" width="8.77734375" style="1"/>
    <col min="8705" max="8705" width="8.33203125" style="1" customWidth="1"/>
    <col min="8706" max="8706" width="8.44140625" style="1" customWidth="1"/>
    <col min="8707" max="8712" width="6.44140625" style="1" customWidth="1"/>
    <col min="8713" max="8718" width="5.44140625" style="1" customWidth="1"/>
    <col min="8719" max="8724" width="3.21875" style="1" customWidth="1"/>
    <col min="8725" max="8725" width="3.44140625" style="1" customWidth="1"/>
    <col min="8726" max="8728" width="3.6640625" style="1" customWidth="1"/>
    <col min="8729" max="8960" width="8.77734375" style="1"/>
    <col min="8961" max="8961" width="8.33203125" style="1" customWidth="1"/>
    <col min="8962" max="8962" width="8.44140625" style="1" customWidth="1"/>
    <col min="8963" max="8968" width="6.44140625" style="1" customWidth="1"/>
    <col min="8969" max="8974" width="5.44140625" style="1" customWidth="1"/>
    <col min="8975" max="8980" width="3.21875" style="1" customWidth="1"/>
    <col min="8981" max="8981" width="3.44140625" style="1" customWidth="1"/>
    <col min="8982" max="8984" width="3.6640625" style="1" customWidth="1"/>
    <col min="8985" max="9216" width="8.77734375" style="1"/>
    <col min="9217" max="9217" width="8.33203125" style="1" customWidth="1"/>
    <col min="9218" max="9218" width="8.44140625" style="1" customWidth="1"/>
    <col min="9219" max="9224" width="6.44140625" style="1" customWidth="1"/>
    <col min="9225" max="9230" width="5.44140625" style="1" customWidth="1"/>
    <col min="9231" max="9236" width="3.21875" style="1" customWidth="1"/>
    <col min="9237" max="9237" width="3.44140625" style="1" customWidth="1"/>
    <col min="9238" max="9240" width="3.6640625" style="1" customWidth="1"/>
    <col min="9241" max="9472" width="8.77734375" style="1"/>
    <col min="9473" max="9473" width="8.33203125" style="1" customWidth="1"/>
    <col min="9474" max="9474" width="8.44140625" style="1" customWidth="1"/>
    <col min="9475" max="9480" width="6.44140625" style="1" customWidth="1"/>
    <col min="9481" max="9486" width="5.44140625" style="1" customWidth="1"/>
    <col min="9487" max="9492" width="3.21875" style="1" customWidth="1"/>
    <col min="9493" max="9493" width="3.44140625" style="1" customWidth="1"/>
    <col min="9494" max="9496" width="3.6640625" style="1" customWidth="1"/>
    <col min="9497" max="9728" width="8.77734375" style="1"/>
    <col min="9729" max="9729" width="8.33203125" style="1" customWidth="1"/>
    <col min="9730" max="9730" width="8.44140625" style="1" customWidth="1"/>
    <col min="9731" max="9736" width="6.44140625" style="1" customWidth="1"/>
    <col min="9737" max="9742" width="5.44140625" style="1" customWidth="1"/>
    <col min="9743" max="9748" width="3.21875" style="1" customWidth="1"/>
    <col min="9749" max="9749" width="3.44140625" style="1" customWidth="1"/>
    <col min="9750" max="9752" width="3.6640625" style="1" customWidth="1"/>
    <col min="9753" max="9984" width="8.77734375" style="1"/>
    <col min="9985" max="9985" width="8.33203125" style="1" customWidth="1"/>
    <col min="9986" max="9986" width="8.44140625" style="1" customWidth="1"/>
    <col min="9987" max="9992" width="6.44140625" style="1" customWidth="1"/>
    <col min="9993" max="9998" width="5.44140625" style="1" customWidth="1"/>
    <col min="9999" max="10004" width="3.21875" style="1" customWidth="1"/>
    <col min="10005" max="10005" width="3.44140625" style="1" customWidth="1"/>
    <col min="10006" max="10008" width="3.6640625" style="1" customWidth="1"/>
    <col min="10009" max="10240" width="8.77734375" style="1"/>
    <col min="10241" max="10241" width="8.33203125" style="1" customWidth="1"/>
    <col min="10242" max="10242" width="8.44140625" style="1" customWidth="1"/>
    <col min="10243" max="10248" width="6.44140625" style="1" customWidth="1"/>
    <col min="10249" max="10254" width="5.44140625" style="1" customWidth="1"/>
    <col min="10255" max="10260" width="3.21875" style="1" customWidth="1"/>
    <col min="10261" max="10261" width="3.44140625" style="1" customWidth="1"/>
    <col min="10262" max="10264" width="3.6640625" style="1" customWidth="1"/>
    <col min="10265" max="10496" width="8.77734375" style="1"/>
    <col min="10497" max="10497" width="8.33203125" style="1" customWidth="1"/>
    <col min="10498" max="10498" width="8.44140625" style="1" customWidth="1"/>
    <col min="10499" max="10504" width="6.44140625" style="1" customWidth="1"/>
    <col min="10505" max="10510" width="5.44140625" style="1" customWidth="1"/>
    <col min="10511" max="10516" width="3.21875" style="1" customWidth="1"/>
    <col min="10517" max="10517" width="3.44140625" style="1" customWidth="1"/>
    <col min="10518" max="10520" width="3.6640625" style="1" customWidth="1"/>
    <col min="10521" max="10752" width="8.77734375" style="1"/>
    <col min="10753" max="10753" width="8.33203125" style="1" customWidth="1"/>
    <col min="10754" max="10754" width="8.44140625" style="1" customWidth="1"/>
    <col min="10755" max="10760" width="6.44140625" style="1" customWidth="1"/>
    <col min="10761" max="10766" width="5.44140625" style="1" customWidth="1"/>
    <col min="10767" max="10772" width="3.21875" style="1" customWidth="1"/>
    <col min="10773" max="10773" width="3.44140625" style="1" customWidth="1"/>
    <col min="10774" max="10776" width="3.6640625" style="1" customWidth="1"/>
    <col min="10777" max="11008" width="8.77734375" style="1"/>
    <col min="11009" max="11009" width="8.33203125" style="1" customWidth="1"/>
    <col min="11010" max="11010" width="8.44140625" style="1" customWidth="1"/>
    <col min="11011" max="11016" width="6.44140625" style="1" customWidth="1"/>
    <col min="11017" max="11022" width="5.44140625" style="1" customWidth="1"/>
    <col min="11023" max="11028" width="3.21875" style="1" customWidth="1"/>
    <col min="11029" max="11029" width="3.44140625" style="1" customWidth="1"/>
    <col min="11030" max="11032" width="3.6640625" style="1" customWidth="1"/>
    <col min="11033" max="11264" width="8.77734375" style="1"/>
    <col min="11265" max="11265" width="8.33203125" style="1" customWidth="1"/>
    <col min="11266" max="11266" width="8.44140625" style="1" customWidth="1"/>
    <col min="11267" max="11272" width="6.44140625" style="1" customWidth="1"/>
    <col min="11273" max="11278" width="5.44140625" style="1" customWidth="1"/>
    <col min="11279" max="11284" width="3.21875" style="1" customWidth="1"/>
    <col min="11285" max="11285" width="3.44140625" style="1" customWidth="1"/>
    <col min="11286" max="11288" width="3.6640625" style="1" customWidth="1"/>
    <col min="11289" max="11520" width="8.77734375" style="1"/>
    <col min="11521" max="11521" width="8.33203125" style="1" customWidth="1"/>
    <col min="11522" max="11522" width="8.44140625" style="1" customWidth="1"/>
    <col min="11523" max="11528" width="6.44140625" style="1" customWidth="1"/>
    <col min="11529" max="11534" width="5.44140625" style="1" customWidth="1"/>
    <col min="11535" max="11540" width="3.21875" style="1" customWidth="1"/>
    <col min="11541" max="11541" width="3.44140625" style="1" customWidth="1"/>
    <col min="11542" max="11544" width="3.6640625" style="1" customWidth="1"/>
    <col min="11545" max="11776" width="8.77734375" style="1"/>
    <col min="11777" max="11777" width="8.33203125" style="1" customWidth="1"/>
    <col min="11778" max="11778" width="8.44140625" style="1" customWidth="1"/>
    <col min="11779" max="11784" width="6.44140625" style="1" customWidth="1"/>
    <col min="11785" max="11790" width="5.44140625" style="1" customWidth="1"/>
    <col min="11791" max="11796" width="3.21875" style="1" customWidth="1"/>
    <col min="11797" max="11797" width="3.44140625" style="1" customWidth="1"/>
    <col min="11798" max="11800" width="3.6640625" style="1" customWidth="1"/>
    <col min="11801" max="12032" width="8.77734375" style="1"/>
    <col min="12033" max="12033" width="8.33203125" style="1" customWidth="1"/>
    <col min="12034" max="12034" width="8.44140625" style="1" customWidth="1"/>
    <col min="12035" max="12040" width="6.44140625" style="1" customWidth="1"/>
    <col min="12041" max="12046" width="5.44140625" style="1" customWidth="1"/>
    <col min="12047" max="12052" width="3.21875" style="1" customWidth="1"/>
    <col min="12053" max="12053" width="3.44140625" style="1" customWidth="1"/>
    <col min="12054" max="12056" width="3.6640625" style="1" customWidth="1"/>
    <col min="12057" max="12288" width="8.77734375" style="1"/>
    <col min="12289" max="12289" width="8.33203125" style="1" customWidth="1"/>
    <col min="12290" max="12290" width="8.44140625" style="1" customWidth="1"/>
    <col min="12291" max="12296" width="6.44140625" style="1" customWidth="1"/>
    <col min="12297" max="12302" width="5.44140625" style="1" customWidth="1"/>
    <col min="12303" max="12308" width="3.21875" style="1" customWidth="1"/>
    <col min="12309" max="12309" width="3.44140625" style="1" customWidth="1"/>
    <col min="12310" max="12312" width="3.6640625" style="1" customWidth="1"/>
    <col min="12313" max="12544" width="8.77734375" style="1"/>
    <col min="12545" max="12545" width="8.33203125" style="1" customWidth="1"/>
    <col min="12546" max="12546" width="8.44140625" style="1" customWidth="1"/>
    <col min="12547" max="12552" width="6.44140625" style="1" customWidth="1"/>
    <col min="12553" max="12558" width="5.44140625" style="1" customWidth="1"/>
    <col min="12559" max="12564" width="3.21875" style="1" customWidth="1"/>
    <col min="12565" max="12565" width="3.44140625" style="1" customWidth="1"/>
    <col min="12566" max="12568" width="3.6640625" style="1" customWidth="1"/>
    <col min="12569" max="12800" width="8.77734375" style="1"/>
    <col min="12801" max="12801" width="8.33203125" style="1" customWidth="1"/>
    <col min="12802" max="12802" width="8.44140625" style="1" customWidth="1"/>
    <col min="12803" max="12808" width="6.44140625" style="1" customWidth="1"/>
    <col min="12809" max="12814" width="5.44140625" style="1" customWidth="1"/>
    <col min="12815" max="12820" width="3.21875" style="1" customWidth="1"/>
    <col min="12821" max="12821" width="3.44140625" style="1" customWidth="1"/>
    <col min="12822" max="12824" width="3.6640625" style="1" customWidth="1"/>
    <col min="12825" max="13056" width="8.77734375" style="1"/>
    <col min="13057" max="13057" width="8.33203125" style="1" customWidth="1"/>
    <col min="13058" max="13058" width="8.44140625" style="1" customWidth="1"/>
    <col min="13059" max="13064" width="6.44140625" style="1" customWidth="1"/>
    <col min="13065" max="13070" width="5.44140625" style="1" customWidth="1"/>
    <col min="13071" max="13076" width="3.21875" style="1" customWidth="1"/>
    <col min="13077" max="13077" width="3.44140625" style="1" customWidth="1"/>
    <col min="13078" max="13080" width="3.6640625" style="1" customWidth="1"/>
    <col min="13081" max="13312" width="8.77734375" style="1"/>
    <col min="13313" max="13313" width="8.33203125" style="1" customWidth="1"/>
    <col min="13314" max="13314" width="8.44140625" style="1" customWidth="1"/>
    <col min="13315" max="13320" width="6.44140625" style="1" customWidth="1"/>
    <col min="13321" max="13326" width="5.44140625" style="1" customWidth="1"/>
    <col min="13327" max="13332" width="3.21875" style="1" customWidth="1"/>
    <col min="13333" max="13333" width="3.44140625" style="1" customWidth="1"/>
    <col min="13334" max="13336" width="3.6640625" style="1" customWidth="1"/>
    <col min="13337" max="13568" width="8.77734375" style="1"/>
    <col min="13569" max="13569" width="8.33203125" style="1" customWidth="1"/>
    <col min="13570" max="13570" width="8.44140625" style="1" customWidth="1"/>
    <col min="13571" max="13576" width="6.44140625" style="1" customWidth="1"/>
    <col min="13577" max="13582" width="5.44140625" style="1" customWidth="1"/>
    <col min="13583" max="13588" width="3.21875" style="1" customWidth="1"/>
    <col min="13589" max="13589" width="3.44140625" style="1" customWidth="1"/>
    <col min="13590" max="13592" width="3.6640625" style="1" customWidth="1"/>
    <col min="13593" max="13824" width="8.77734375" style="1"/>
    <col min="13825" max="13825" width="8.33203125" style="1" customWidth="1"/>
    <col min="13826" max="13826" width="8.44140625" style="1" customWidth="1"/>
    <col min="13827" max="13832" width="6.44140625" style="1" customWidth="1"/>
    <col min="13833" max="13838" width="5.44140625" style="1" customWidth="1"/>
    <col min="13839" max="13844" width="3.21875" style="1" customWidth="1"/>
    <col min="13845" max="13845" width="3.44140625" style="1" customWidth="1"/>
    <col min="13846" max="13848" width="3.6640625" style="1" customWidth="1"/>
    <col min="13849" max="14080" width="8.77734375" style="1"/>
    <col min="14081" max="14081" width="8.33203125" style="1" customWidth="1"/>
    <col min="14082" max="14082" width="8.44140625" style="1" customWidth="1"/>
    <col min="14083" max="14088" width="6.44140625" style="1" customWidth="1"/>
    <col min="14089" max="14094" width="5.44140625" style="1" customWidth="1"/>
    <col min="14095" max="14100" width="3.21875" style="1" customWidth="1"/>
    <col min="14101" max="14101" width="3.44140625" style="1" customWidth="1"/>
    <col min="14102" max="14104" width="3.6640625" style="1" customWidth="1"/>
    <col min="14105" max="14336" width="8.77734375" style="1"/>
    <col min="14337" max="14337" width="8.33203125" style="1" customWidth="1"/>
    <col min="14338" max="14338" width="8.44140625" style="1" customWidth="1"/>
    <col min="14339" max="14344" width="6.44140625" style="1" customWidth="1"/>
    <col min="14345" max="14350" width="5.44140625" style="1" customWidth="1"/>
    <col min="14351" max="14356" width="3.21875" style="1" customWidth="1"/>
    <col min="14357" max="14357" width="3.44140625" style="1" customWidth="1"/>
    <col min="14358" max="14360" width="3.6640625" style="1" customWidth="1"/>
    <col min="14361" max="14592" width="8.77734375" style="1"/>
    <col min="14593" max="14593" width="8.33203125" style="1" customWidth="1"/>
    <col min="14594" max="14594" width="8.44140625" style="1" customWidth="1"/>
    <col min="14595" max="14600" width="6.44140625" style="1" customWidth="1"/>
    <col min="14601" max="14606" width="5.44140625" style="1" customWidth="1"/>
    <col min="14607" max="14612" width="3.21875" style="1" customWidth="1"/>
    <col min="14613" max="14613" width="3.44140625" style="1" customWidth="1"/>
    <col min="14614" max="14616" width="3.6640625" style="1" customWidth="1"/>
    <col min="14617" max="14848" width="8.77734375" style="1"/>
    <col min="14849" max="14849" width="8.33203125" style="1" customWidth="1"/>
    <col min="14850" max="14850" width="8.44140625" style="1" customWidth="1"/>
    <col min="14851" max="14856" width="6.44140625" style="1" customWidth="1"/>
    <col min="14857" max="14862" width="5.44140625" style="1" customWidth="1"/>
    <col min="14863" max="14868" width="3.21875" style="1" customWidth="1"/>
    <col min="14869" max="14869" width="3.44140625" style="1" customWidth="1"/>
    <col min="14870" max="14872" width="3.6640625" style="1" customWidth="1"/>
    <col min="14873" max="15104" width="8.77734375" style="1"/>
    <col min="15105" max="15105" width="8.33203125" style="1" customWidth="1"/>
    <col min="15106" max="15106" width="8.44140625" style="1" customWidth="1"/>
    <col min="15107" max="15112" width="6.44140625" style="1" customWidth="1"/>
    <col min="15113" max="15118" width="5.44140625" style="1" customWidth="1"/>
    <col min="15119" max="15124" width="3.21875" style="1" customWidth="1"/>
    <col min="15125" max="15125" width="3.44140625" style="1" customWidth="1"/>
    <col min="15126" max="15128" width="3.6640625" style="1" customWidth="1"/>
    <col min="15129" max="15360" width="8.77734375" style="1"/>
    <col min="15361" max="15361" width="8.33203125" style="1" customWidth="1"/>
    <col min="15362" max="15362" width="8.44140625" style="1" customWidth="1"/>
    <col min="15363" max="15368" width="6.44140625" style="1" customWidth="1"/>
    <col min="15369" max="15374" width="5.44140625" style="1" customWidth="1"/>
    <col min="15375" max="15380" width="3.21875" style="1" customWidth="1"/>
    <col min="15381" max="15381" width="3.44140625" style="1" customWidth="1"/>
    <col min="15382" max="15384" width="3.6640625" style="1" customWidth="1"/>
    <col min="15385" max="15616" width="8.77734375" style="1"/>
    <col min="15617" max="15617" width="8.33203125" style="1" customWidth="1"/>
    <col min="15618" max="15618" width="8.44140625" style="1" customWidth="1"/>
    <col min="15619" max="15624" width="6.44140625" style="1" customWidth="1"/>
    <col min="15625" max="15630" width="5.44140625" style="1" customWidth="1"/>
    <col min="15631" max="15636" width="3.21875" style="1" customWidth="1"/>
    <col min="15637" max="15637" width="3.44140625" style="1" customWidth="1"/>
    <col min="15638" max="15640" width="3.6640625" style="1" customWidth="1"/>
    <col min="15641" max="15872" width="8.77734375" style="1"/>
    <col min="15873" max="15873" width="8.33203125" style="1" customWidth="1"/>
    <col min="15874" max="15874" width="8.44140625" style="1" customWidth="1"/>
    <col min="15875" max="15880" width="6.44140625" style="1" customWidth="1"/>
    <col min="15881" max="15886" width="5.44140625" style="1" customWidth="1"/>
    <col min="15887" max="15892" width="3.21875" style="1" customWidth="1"/>
    <col min="15893" max="15893" width="3.44140625" style="1" customWidth="1"/>
    <col min="15894" max="15896" width="3.6640625" style="1" customWidth="1"/>
    <col min="15897" max="16128" width="8.77734375" style="1"/>
    <col min="16129" max="16129" width="8.33203125" style="1" customWidth="1"/>
    <col min="16130" max="16130" width="8.44140625" style="1" customWidth="1"/>
    <col min="16131" max="16136" width="6.44140625" style="1" customWidth="1"/>
    <col min="16137" max="16142" width="5.44140625" style="1" customWidth="1"/>
    <col min="16143" max="16148" width="3.21875" style="1" customWidth="1"/>
    <col min="16149" max="16149" width="3.44140625" style="1" customWidth="1"/>
    <col min="16150" max="16152" width="3.6640625" style="1" customWidth="1"/>
    <col min="16153" max="16384" width="8.77734375" style="1"/>
  </cols>
  <sheetData>
    <row r="1" spans="1:24" ht="15" customHeight="1" x14ac:dyDescent="0.15"/>
    <row r="2" spans="1:24" ht="15" customHeight="1" x14ac:dyDescent="0.15">
      <c r="A2" s="100" t="s">
        <v>121</v>
      </c>
      <c r="B2" s="101"/>
      <c r="O2" s="119"/>
      <c r="P2" s="119"/>
      <c r="Q2" s="119"/>
      <c r="R2" s="119"/>
      <c r="S2" s="119"/>
      <c r="T2" s="119"/>
    </row>
    <row r="3" spans="1:24" s="5" customFormat="1" ht="12" customHeight="1" x14ac:dyDescent="0.15">
      <c r="A3" s="204" t="s">
        <v>68</v>
      </c>
      <c r="B3" s="206" t="s">
        <v>67</v>
      </c>
      <c r="C3" s="211" t="s">
        <v>78</v>
      </c>
      <c r="D3" s="212"/>
      <c r="E3" s="212"/>
      <c r="F3" s="212"/>
      <c r="G3" s="213"/>
      <c r="H3" s="213"/>
      <c r="I3" s="211" t="s">
        <v>73</v>
      </c>
      <c r="J3" s="212"/>
      <c r="K3" s="212"/>
      <c r="L3" s="212"/>
      <c r="M3" s="213"/>
      <c r="N3" s="213"/>
      <c r="O3" s="219" t="s">
        <v>74</v>
      </c>
      <c r="P3" s="220"/>
      <c r="Q3" s="220"/>
      <c r="R3" s="220"/>
      <c r="S3" s="220"/>
      <c r="T3" s="220"/>
    </row>
    <row r="4" spans="1:24" s="5" customFormat="1" ht="12" customHeight="1" x14ac:dyDescent="0.15">
      <c r="A4" s="205"/>
      <c r="B4" s="207"/>
      <c r="C4" s="120">
        <v>2018</v>
      </c>
      <c r="D4" s="121">
        <v>2019</v>
      </c>
      <c r="E4" s="121">
        <v>2020</v>
      </c>
      <c r="F4" s="121">
        <v>2021</v>
      </c>
      <c r="G4" s="106">
        <v>2022</v>
      </c>
      <c r="H4" s="105">
        <v>2023</v>
      </c>
      <c r="I4" s="120">
        <v>2018</v>
      </c>
      <c r="J4" s="121">
        <v>2019</v>
      </c>
      <c r="K4" s="121">
        <v>2020</v>
      </c>
      <c r="L4" s="121">
        <v>2021</v>
      </c>
      <c r="M4" s="106">
        <v>2022</v>
      </c>
      <c r="N4" s="105">
        <v>2023</v>
      </c>
      <c r="O4" s="120">
        <v>2018</v>
      </c>
      <c r="P4" s="121">
        <v>2019</v>
      </c>
      <c r="Q4" s="121">
        <v>2020</v>
      </c>
      <c r="R4" s="121">
        <v>2021</v>
      </c>
      <c r="S4" s="106">
        <v>2022</v>
      </c>
      <c r="T4" s="105">
        <v>2023</v>
      </c>
    </row>
    <row r="5" spans="1:24" s="5" customFormat="1" ht="8.4499999999999993" customHeight="1" x14ac:dyDescent="0.15">
      <c r="A5" s="198" t="s">
        <v>63</v>
      </c>
      <c r="B5" s="108" t="s">
        <v>60</v>
      </c>
      <c r="C5" s="41">
        <v>782022</v>
      </c>
      <c r="D5" s="40">
        <v>800937</v>
      </c>
      <c r="E5" s="40">
        <v>819200</v>
      </c>
      <c r="F5" s="40">
        <v>825736</v>
      </c>
      <c r="G5" s="38">
        <v>826931</v>
      </c>
      <c r="H5" s="39">
        <v>837882</v>
      </c>
      <c r="I5" s="41">
        <v>734760</v>
      </c>
      <c r="J5" s="40">
        <v>750655</v>
      </c>
      <c r="K5" s="40">
        <v>757740</v>
      </c>
      <c r="L5" s="40">
        <v>763886</v>
      </c>
      <c r="M5" s="38">
        <v>762842</v>
      </c>
      <c r="N5" s="39">
        <v>773234</v>
      </c>
      <c r="O5" s="37">
        <v>93.956436008194146</v>
      </c>
      <c r="P5" s="14">
        <v>93.722102986876621</v>
      </c>
      <c r="Q5" s="14">
        <v>92.49755859375</v>
      </c>
      <c r="R5" s="14">
        <v>92.509712547351697</v>
      </c>
      <c r="S5" s="13">
        <v>92.24977658353599</v>
      </c>
      <c r="T5" s="36">
        <v>92.284355076251785</v>
      </c>
      <c r="V5" s="6"/>
      <c r="W5" s="6"/>
      <c r="X5" s="91"/>
    </row>
    <row r="6" spans="1:24" s="5" customFormat="1" ht="8.4499999999999993" customHeight="1" x14ac:dyDescent="0.15">
      <c r="A6" s="201"/>
      <c r="B6" s="109" t="s">
        <v>59</v>
      </c>
      <c r="C6" s="41">
        <v>938206</v>
      </c>
      <c r="D6" s="40">
        <v>944052</v>
      </c>
      <c r="E6" s="40">
        <v>959293</v>
      </c>
      <c r="F6" s="40">
        <v>958335</v>
      </c>
      <c r="G6" s="38">
        <v>959745</v>
      </c>
      <c r="H6" s="39">
        <v>963123</v>
      </c>
      <c r="I6" s="41">
        <v>953648</v>
      </c>
      <c r="J6" s="40">
        <v>961124</v>
      </c>
      <c r="K6" s="40">
        <v>966805</v>
      </c>
      <c r="L6" s="40">
        <v>974718</v>
      </c>
      <c r="M6" s="38">
        <v>984579</v>
      </c>
      <c r="N6" s="39">
        <v>995276</v>
      </c>
      <c r="O6" s="37">
        <v>101.64590718882633</v>
      </c>
      <c r="P6" s="14">
        <v>101.80837496239614</v>
      </c>
      <c r="Q6" s="14">
        <v>100.78307670336383</v>
      </c>
      <c r="R6" s="14">
        <v>101.70952746169138</v>
      </c>
      <c r="S6" s="13">
        <v>102.58756232124158</v>
      </c>
      <c r="T6" s="36">
        <v>103.33841056645932</v>
      </c>
      <c r="V6" s="6"/>
      <c r="W6" s="6"/>
      <c r="X6" s="91"/>
    </row>
    <row r="7" spans="1:24" s="5" customFormat="1" ht="8.4499999999999993" customHeight="1" x14ac:dyDescent="0.15">
      <c r="A7" s="201"/>
      <c r="B7" s="109" t="s">
        <v>58</v>
      </c>
      <c r="C7" s="41">
        <v>1618306</v>
      </c>
      <c r="D7" s="40">
        <v>1644166</v>
      </c>
      <c r="E7" s="40">
        <v>1684641</v>
      </c>
      <c r="F7" s="40">
        <v>1686180</v>
      </c>
      <c r="G7" s="38">
        <v>1697811</v>
      </c>
      <c r="H7" s="39">
        <v>1706158</v>
      </c>
      <c r="I7" s="41">
        <v>1590766</v>
      </c>
      <c r="J7" s="40">
        <v>1616713</v>
      </c>
      <c r="K7" s="40">
        <v>1653655</v>
      </c>
      <c r="L7" s="40">
        <v>1681434</v>
      </c>
      <c r="M7" s="38">
        <v>1705223</v>
      </c>
      <c r="N7" s="39">
        <v>1723762</v>
      </c>
      <c r="O7" s="37">
        <v>98.29822048487739</v>
      </c>
      <c r="P7" s="14">
        <v>98.330278086275953</v>
      </c>
      <c r="Q7" s="14">
        <v>98.160676369624156</v>
      </c>
      <c r="R7" s="14">
        <v>99.71853538768103</v>
      </c>
      <c r="S7" s="13">
        <v>100.43656213795293</v>
      </c>
      <c r="T7" s="36">
        <v>101.03179189735066</v>
      </c>
      <c r="V7" s="6"/>
      <c r="W7" s="6"/>
      <c r="X7" s="91"/>
    </row>
    <row r="8" spans="1:24" s="5" customFormat="1" ht="8.4499999999999993" customHeight="1" x14ac:dyDescent="0.15">
      <c r="A8" s="201"/>
      <c r="B8" s="109" t="s">
        <v>28</v>
      </c>
      <c r="C8" s="41">
        <v>351792</v>
      </c>
      <c r="D8" s="40">
        <v>358916</v>
      </c>
      <c r="E8" s="40">
        <v>369813</v>
      </c>
      <c r="F8" s="40">
        <v>374450</v>
      </c>
      <c r="G8" s="38">
        <v>379449</v>
      </c>
      <c r="H8" s="39">
        <v>380753</v>
      </c>
      <c r="I8" s="41">
        <v>361713</v>
      </c>
      <c r="J8" s="40">
        <v>371497</v>
      </c>
      <c r="K8" s="40">
        <v>381186</v>
      </c>
      <c r="L8" s="40">
        <v>387010</v>
      </c>
      <c r="M8" s="38">
        <v>394055</v>
      </c>
      <c r="N8" s="39">
        <v>398269</v>
      </c>
      <c r="O8" s="37">
        <v>102.82013235093463</v>
      </c>
      <c r="P8" s="14">
        <v>103.5052770007467</v>
      </c>
      <c r="Q8" s="14">
        <v>103.07533807627098</v>
      </c>
      <c r="R8" s="14">
        <v>103.3542529042596</v>
      </c>
      <c r="S8" s="13">
        <v>103.84926564571259</v>
      </c>
      <c r="T8" s="36">
        <v>104.60035771221763</v>
      </c>
      <c r="V8" s="6"/>
      <c r="W8" s="6"/>
      <c r="X8" s="91"/>
    </row>
    <row r="9" spans="1:24" s="5" customFormat="1" ht="8.4499999999999993" customHeight="1" x14ac:dyDescent="0.15">
      <c r="A9" s="201"/>
      <c r="B9" s="109" t="s">
        <v>57</v>
      </c>
      <c r="C9" s="41">
        <v>572040</v>
      </c>
      <c r="D9" s="40">
        <v>577958</v>
      </c>
      <c r="E9" s="40">
        <v>583355</v>
      </c>
      <c r="F9" s="40">
        <v>581306</v>
      </c>
      <c r="G9" s="38">
        <v>582360</v>
      </c>
      <c r="H9" s="39">
        <v>582360</v>
      </c>
      <c r="I9" s="41">
        <v>545449</v>
      </c>
      <c r="J9" s="40">
        <v>549976</v>
      </c>
      <c r="K9" s="40">
        <v>550298</v>
      </c>
      <c r="L9" s="40">
        <v>550543</v>
      </c>
      <c r="M9" s="38">
        <v>561717</v>
      </c>
      <c r="N9" s="39">
        <v>553506</v>
      </c>
      <c r="O9" s="37">
        <v>95.351548842738268</v>
      </c>
      <c r="P9" s="14">
        <v>95.158471722858749</v>
      </c>
      <c r="Q9" s="14">
        <v>94.333296191855737</v>
      </c>
      <c r="R9" s="14">
        <v>94.707950717866325</v>
      </c>
      <c r="S9" s="13">
        <v>96.455285390480114</v>
      </c>
      <c r="T9" s="36">
        <v>95.045332783845055</v>
      </c>
      <c r="V9" s="6"/>
      <c r="W9" s="6"/>
      <c r="X9" s="91"/>
    </row>
    <row r="10" spans="1:24" s="5" customFormat="1" ht="8.4499999999999993" customHeight="1" x14ac:dyDescent="0.15">
      <c r="A10" s="201"/>
      <c r="B10" s="110" t="s">
        <v>4</v>
      </c>
      <c r="C10" s="41">
        <v>4262366</v>
      </c>
      <c r="D10" s="40">
        <v>4326029</v>
      </c>
      <c r="E10" s="40">
        <v>4416302</v>
      </c>
      <c r="F10" s="40">
        <v>4426007</v>
      </c>
      <c r="G10" s="38">
        <v>4446296</v>
      </c>
      <c r="H10" s="39">
        <v>4470276</v>
      </c>
      <c r="I10" s="41">
        <v>4186336</v>
      </c>
      <c r="J10" s="40">
        <v>4249965</v>
      </c>
      <c r="K10" s="40">
        <v>4309684</v>
      </c>
      <c r="L10" s="40">
        <v>4357591</v>
      </c>
      <c r="M10" s="38">
        <v>4408416</v>
      </c>
      <c r="N10" s="39">
        <v>4444047</v>
      </c>
      <c r="O10" s="37">
        <v>98.216248909643141</v>
      </c>
      <c r="P10" s="14">
        <v>98.241713127674373</v>
      </c>
      <c r="Q10" s="14">
        <v>97.585808216919943</v>
      </c>
      <c r="R10" s="14">
        <v>98.454227478628027</v>
      </c>
      <c r="S10" s="13">
        <v>99.148054920320192</v>
      </c>
      <c r="T10" s="36">
        <v>99.413257704893383</v>
      </c>
      <c r="V10" s="6"/>
      <c r="W10" s="6"/>
      <c r="X10" s="91"/>
    </row>
    <row r="11" spans="1:24" s="5" customFormat="1" ht="8.4499999999999993" customHeight="1" x14ac:dyDescent="0.15">
      <c r="A11" s="201" t="s">
        <v>62</v>
      </c>
      <c r="B11" s="111" t="s">
        <v>56</v>
      </c>
      <c r="C11" s="41">
        <v>419248</v>
      </c>
      <c r="D11" s="40">
        <v>431396</v>
      </c>
      <c r="E11" s="40">
        <v>447514</v>
      </c>
      <c r="F11" s="40">
        <v>456420</v>
      </c>
      <c r="G11" s="38">
        <v>457229</v>
      </c>
      <c r="H11" s="39">
        <v>463302</v>
      </c>
      <c r="I11" s="41">
        <v>395611</v>
      </c>
      <c r="J11" s="40">
        <v>405475</v>
      </c>
      <c r="K11" s="40">
        <v>410302</v>
      </c>
      <c r="L11" s="40">
        <v>419623</v>
      </c>
      <c r="M11" s="38">
        <v>419512</v>
      </c>
      <c r="N11" s="39">
        <v>423544</v>
      </c>
      <c r="O11" s="37">
        <v>94.362048238751285</v>
      </c>
      <c r="P11" s="14">
        <v>93.991367560199919</v>
      </c>
      <c r="Q11" s="14">
        <v>91.684729416286416</v>
      </c>
      <c r="R11" s="14">
        <v>91.937908067131147</v>
      </c>
      <c r="S11" s="13">
        <v>91.75096067834717</v>
      </c>
      <c r="T11" s="36">
        <v>91.418556362804395</v>
      </c>
      <c r="V11" s="6"/>
      <c r="W11" s="6"/>
      <c r="X11" s="91"/>
    </row>
    <row r="12" spans="1:24" s="5" customFormat="1" ht="8.4499999999999993" customHeight="1" x14ac:dyDescent="0.15">
      <c r="A12" s="201"/>
      <c r="B12" s="109" t="s">
        <v>55</v>
      </c>
      <c r="C12" s="41">
        <v>782207</v>
      </c>
      <c r="D12" s="40">
        <v>795537</v>
      </c>
      <c r="E12" s="40">
        <v>808447</v>
      </c>
      <c r="F12" s="40">
        <v>829648</v>
      </c>
      <c r="G12" s="38">
        <v>852980</v>
      </c>
      <c r="H12" s="39">
        <v>875761</v>
      </c>
      <c r="I12" s="41">
        <v>720356</v>
      </c>
      <c r="J12" s="40">
        <v>729393</v>
      </c>
      <c r="K12" s="40">
        <v>733844</v>
      </c>
      <c r="L12" s="40">
        <v>744933</v>
      </c>
      <c r="M12" s="38">
        <v>764266</v>
      </c>
      <c r="N12" s="39">
        <v>784072</v>
      </c>
      <c r="O12" s="37">
        <v>92.092758055092844</v>
      </c>
      <c r="P12" s="14">
        <v>91.685616130990766</v>
      </c>
      <c r="Q12" s="14">
        <v>90.772060506130885</v>
      </c>
      <c r="R12" s="14">
        <v>89.789043064046439</v>
      </c>
      <c r="S12" s="13">
        <v>89.599521676944363</v>
      </c>
      <c r="T12" s="36">
        <v>89.530362735951925</v>
      </c>
      <c r="V12" s="6"/>
      <c r="W12" s="6"/>
      <c r="X12" s="91"/>
    </row>
    <row r="13" spans="1:24" s="5" customFormat="1" ht="8.4499999999999993" customHeight="1" x14ac:dyDescent="0.15">
      <c r="A13" s="201"/>
      <c r="B13" s="110" t="s">
        <v>4</v>
      </c>
      <c r="C13" s="41">
        <v>1201455</v>
      </c>
      <c r="D13" s="40">
        <v>1226933</v>
      </c>
      <c r="E13" s="40">
        <v>1255961</v>
      </c>
      <c r="F13" s="40">
        <v>1286068</v>
      </c>
      <c r="G13" s="38">
        <v>1310209</v>
      </c>
      <c r="H13" s="39">
        <v>1339063</v>
      </c>
      <c r="I13" s="41">
        <v>1115967</v>
      </c>
      <c r="J13" s="40">
        <v>1134868</v>
      </c>
      <c r="K13" s="40">
        <v>1144146</v>
      </c>
      <c r="L13" s="40">
        <v>1164556</v>
      </c>
      <c r="M13" s="38">
        <v>1183778</v>
      </c>
      <c r="N13" s="39">
        <v>1207616</v>
      </c>
      <c r="O13" s="37">
        <v>92.884627389290486</v>
      </c>
      <c r="P13" s="14">
        <v>92.496330280463567</v>
      </c>
      <c r="Q13" s="14">
        <v>91.097255408408387</v>
      </c>
      <c r="R13" s="14">
        <v>90.551666008329263</v>
      </c>
      <c r="S13" s="13">
        <v>90.350318155347736</v>
      </c>
      <c r="T13" s="36">
        <v>90.183658274479995</v>
      </c>
      <c r="V13" s="6"/>
      <c r="W13" s="6"/>
      <c r="X13" s="91"/>
    </row>
    <row r="14" spans="1:24" s="5" customFormat="1" ht="8.4499999999999993" customHeight="1" x14ac:dyDescent="0.15">
      <c r="A14" s="196" t="s">
        <v>61</v>
      </c>
      <c r="B14" s="111" t="s">
        <v>60</v>
      </c>
      <c r="C14" s="41">
        <v>814642</v>
      </c>
      <c r="D14" s="40">
        <v>837580</v>
      </c>
      <c r="E14" s="40">
        <v>872926</v>
      </c>
      <c r="F14" s="40">
        <v>897167</v>
      </c>
      <c r="G14" s="38">
        <v>904397</v>
      </c>
      <c r="H14" s="39">
        <v>910712</v>
      </c>
      <c r="I14" s="41">
        <v>698041</v>
      </c>
      <c r="J14" s="40">
        <v>699054</v>
      </c>
      <c r="K14" s="40">
        <v>710826</v>
      </c>
      <c r="L14" s="40">
        <v>723225</v>
      </c>
      <c r="M14" s="38">
        <v>731177</v>
      </c>
      <c r="N14" s="39">
        <v>739982</v>
      </c>
      <c r="O14" s="37">
        <v>85.686841581946425</v>
      </c>
      <c r="P14" s="14">
        <v>83.461161918861478</v>
      </c>
      <c r="Q14" s="14">
        <v>81.430270148901513</v>
      </c>
      <c r="R14" s="14">
        <v>80.612082254474359</v>
      </c>
      <c r="S14" s="13">
        <v>80.846906834056284</v>
      </c>
      <c r="T14" s="36">
        <v>81.253129419618929</v>
      </c>
      <c r="V14" s="6"/>
      <c r="W14" s="6"/>
      <c r="X14" s="91"/>
    </row>
    <row r="15" spans="1:24" s="5" customFormat="1" ht="8.4499999999999993" customHeight="1" x14ac:dyDescent="0.15">
      <c r="A15" s="197"/>
      <c r="B15" s="109" t="s">
        <v>59</v>
      </c>
      <c r="C15" s="41">
        <v>433976</v>
      </c>
      <c r="D15" s="40">
        <v>447870</v>
      </c>
      <c r="E15" s="40">
        <v>460961</v>
      </c>
      <c r="F15" s="40">
        <v>475752</v>
      </c>
      <c r="G15" s="38">
        <v>481618</v>
      </c>
      <c r="H15" s="39">
        <v>484364</v>
      </c>
      <c r="I15" s="41">
        <v>329264</v>
      </c>
      <c r="J15" s="40">
        <v>354154</v>
      </c>
      <c r="K15" s="40">
        <v>350644</v>
      </c>
      <c r="L15" s="40">
        <v>359921</v>
      </c>
      <c r="M15" s="38">
        <v>370653</v>
      </c>
      <c r="N15" s="39">
        <v>377502</v>
      </c>
      <c r="O15" s="37">
        <v>75.871476763692002</v>
      </c>
      <c r="P15" s="14">
        <v>79.075178065063525</v>
      </c>
      <c r="Q15" s="14">
        <v>76.068040463292988</v>
      </c>
      <c r="R15" s="14">
        <v>75.653071348097328</v>
      </c>
      <c r="S15" s="13">
        <v>76.9599558156049</v>
      </c>
      <c r="T15" s="36">
        <v>77.937666713463429</v>
      </c>
      <c r="V15" s="6"/>
      <c r="W15" s="6"/>
      <c r="X15" s="91"/>
    </row>
    <row r="16" spans="1:24" s="5" customFormat="1" ht="8.4499999999999993" customHeight="1" x14ac:dyDescent="0.15">
      <c r="A16" s="197"/>
      <c r="B16" s="109" t="s">
        <v>58</v>
      </c>
      <c r="C16" s="41">
        <v>753067</v>
      </c>
      <c r="D16" s="40">
        <v>782584</v>
      </c>
      <c r="E16" s="40">
        <v>824090</v>
      </c>
      <c r="F16" s="40">
        <v>851012</v>
      </c>
      <c r="G16" s="38">
        <v>863346</v>
      </c>
      <c r="H16" s="39">
        <v>870921</v>
      </c>
      <c r="I16" s="41">
        <v>656702</v>
      </c>
      <c r="J16" s="40">
        <v>683378</v>
      </c>
      <c r="K16" s="40">
        <v>713934</v>
      </c>
      <c r="L16" s="40">
        <v>732595</v>
      </c>
      <c r="M16" s="38">
        <v>753337</v>
      </c>
      <c r="N16" s="39">
        <v>765291</v>
      </c>
      <c r="O16" s="37">
        <v>87.203661825574613</v>
      </c>
      <c r="P16" s="14">
        <v>87.323277756764767</v>
      </c>
      <c r="Q16" s="14">
        <v>86.63301338446044</v>
      </c>
      <c r="R16" s="14">
        <v>86.085155085944734</v>
      </c>
      <c r="S16" s="13">
        <v>87.257831738376041</v>
      </c>
      <c r="T16" s="36">
        <v>87.871460212809197</v>
      </c>
      <c r="V16" s="6"/>
      <c r="W16" s="6"/>
      <c r="X16" s="91"/>
    </row>
    <row r="17" spans="1:29" s="5" customFormat="1" ht="8.4499999999999993" customHeight="1" x14ac:dyDescent="0.15">
      <c r="A17" s="197"/>
      <c r="B17" s="109" t="s">
        <v>57</v>
      </c>
      <c r="C17" s="41">
        <v>396520</v>
      </c>
      <c r="D17" s="40">
        <v>406600</v>
      </c>
      <c r="E17" s="40">
        <v>424648</v>
      </c>
      <c r="F17" s="40">
        <v>435525</v>
      </c>
      <c r="G17" s="38">
        <v>441629</v>
      </c>
      <c r="H17" s="39">
        <v>441629</v>
      </c>
      <c r="I17" s="41">
        <v>325670</v>
      </c>
      <c r="J17" s="40">
        <v>337714</v>
      </c>
      <c r="K17" s="40">
        <v>351763</v>
      </c>
      <c r="L17" s="40">
        <v>361939</v>
      </c>
      <c r="M17" s="38">
        <v>378095</v>
      </c>
      <c r="N17" s="39">
        <v>382647</v>
      </c>
      <c r="O17" s="37">
        <v>82.132048824775552</v>
      </c>
      <c r="P17" s="14">
        <v>83.058042302016716</v>
      </c>
      <c r="Q17" s="14">
        <v>82.83637271340028</v>
      </c>
      <c r="R17" s="14">
        <v>83.104069800815111</v>
      </c>
      <c r="S17" s="13">
        <v>85.613716490538437</v>
      </c>
      <c r="T17" s="36">
        <v>86.644445903688393</v>
      </c>
      <c r="V17" s="6"/>
      <c r="W17" s="6"/>
      <c r="X17" s="91"/>
    </row>
    <row r="18" spans="1:29" s="5" customFormat="1" ht="8.4499999999999993" customHeight="1" x14ac:dyDescent="0.15">
      <c r="A18" s="197"/>
      <c r="B18" s="109" t="s">
        <v>56</v>
      </c>
      <c r="C18" s="41">
        <v>2881638</v>
      </c>
      <c r="D18" s="40">
        <v>2969564</v>
      </c>
      <c r="E18" s="40">
        <v>3059760</v>
      </c>
      <c r="F18" s="40">
        <v>3156512</v>
      </c>
      <c r="G18" s="38">
        <v>3196763</v>
      </c>
      <c r="H18" s="39">
        <v>3233651</v>
      </c>
      <c r="I18" s="41">
        <v>2649454</v>
      </c>
      <c r="J18" s="40">
        <v>2705780</v>
      </c>
      <c r="K18" s="40">
        <v>2731983</v>
      </c>
      <c r="L18" s="40">
        <v>2766761</v>
      </c>
      <c r="M18" s="38">
        <v>2804089</v>
      </c>
      <c r="N18" s="39">
        <v>2811024</v>
      </c>
      <c r="O18" s="37">
        <v>91.942638180090626</v>
      </c>
      <c r="P18" s="14">
        <v>91.117079813736964</v>
      </c>
      <c r="Q18" s="14">
        <v>89.287493136716606</v>
      </c>
      <c r="R18" s="14">
        <v>87.652478431889378</v>
      </c>
      <c r="S18" s="13">
        <v>87.716511984153968</v>
      </c>
      <c r="T18" s="36">
        <v>86.930345915499231</v>
      </c>
      <c r="V18" s="6"/>
      <c r="W18" s="6"/>
      <c r="X18" s="91"/>
    </row>
    <row r="19" spans="1:29" s="5" customFormat="1" ht="8.4499999999999993" customHeight="1" x14ac:dyDescent="0.15">
      <c r="A19" s="197"/>
      <c r="B19" s="109" t="s">
        <v>55</v>
      </c>
      <c r="C19" s="41">
        <v>17063</v>
      </c>
      <c r="D19" s="40">
        <v>17725</v>
      </c>
      <c r="E19" s="40">
        <v>18429</v>
      </c>
      <c r="F19" s="40">
        <v>18602</v>
      </c>
      <c r="G19" s="38">
        <v>18505</v>
      </c>
      <c r="H19" s="39">
        <v>18211</v>
      </c>
      <c r="I19" s="41">
        <v>9884</v>
      </c>
      <c r="J19" s="40">
        <v>10827</v>
      </c>
      <c r="K19" s="40">
        <v>11278</v>
      </c>
      <c r="L19" s="40">
        <v>11545</v>
      </c>
      <c r="M19" s="38">
        <v>11618</v>
      </c>
      <c r="N19" s="39">
        <v>11564</v>
      </c>
      <c r="O19" s="37">
        <v>57.926507648127526</v>
      </c>
      <c r="P19" s="14">
        <v>61.083215796897036</v>
      </c>
      <c r="Q19" s="14">
        <v>61.197026425742038</v>
      </c>
      <c r="R19" s="14">
        <v>62.063219008708735</v>
      </c>
      <c r="S19" s="13">
        <v>62.783031613077547</v>
      </c>
      <c r="T19" s="36">
        <v>63.500082367799685</v>
      </c>
      <c r="V19" s="6"/>
      <c r="W19" s="6"/>
      <c r="X19" s="91"/>
    </row>
    <row r="20" spans="1:29" s="5" customFormat="1" ht="8.4499999999999993" customHeight="1" x14ac:dyDescent="0.15">
      <c r="A20" s="197"/>
      <c r="B20" s="109" t="s">
        <v>4</v>
      </c>
      <c r="C20" s="41">
        <v>5296906</v>
      </c>
      <c r="D20" s="40">
        <v>5461923</v>
      </c>
      <c r="E20" s="40">
        <v>5660814</v>
      </c>
      <c r="F20" s="40">
        <v>5834570</v>
      </c>
      <c r="G20" s="38">
        <v>5906258</v>
      </c>
      <c r="H20" s="39">
        <v>5959488</v>
      </c>
      <c r="I20" s="41">
        <v>4669015</v>
      </c>
      <c r="J20" s="40">
        <v>4790907</v>
      </c>
      <c r="K20" s="40">
        <v>4870428</v>
      </c>
      <c r="L20" s="40">
        <v>4955986</v>
      </c>
      <c r="M20" s="38">
        <v>5048969</v>
      </c>
      <c r="N20" s="39">
        <v>5088010</v>
      </c>
      <c r="O20" s="37">
        <v>88.146079994623278</v>
      </c>
      <c r="P20" s="14">
        <v>87.714656541295071</v>
      </c>
      <c r="Q20" s="14">
        <v>86.037591060225623</v>
      </c>
      <c r="R20" s="14">
        <v>84.941752348502121</v>
      </c>
      <c r="S20" s="13">
        <v>85.485073628683338</v>
      </c>
      <c r="T20" s="36">
        <v>85.376629670199861</v>
      </c>
      <c r="V20" s="6"/>
      <c r="W20" s="6"/>
      <c r="X20" s="91"/>
      <c r="AC20" s="5" t="s">
        <v>122</v>
      </c>
    </row>
    <row r="21" spans="1:29" s="5" customFormat="1" ht="8.4499999999999993" customHeight="1" x14ac:dyDescent="0.15">
      <c r="A21" s="202" t="s">
        <v>54</v>
      </c>
      <c r="B21" s="203"/>
      <c r="C21" s="56">
        <v>10760727</v>
      </c>
      <c r="D21" s="55">
        <v>11014885</v>
      </c>
      <c r="E21" s="55">
        <v>11333077</v>
      </c>
      <c r="F21" s="55">
        <v>11546645</v>
      </c>
      <c r="G21" s="53">
        <v>11662763</v>
      </c>
      <c r="H21" s="54">
        <v>11768827</v>
      </c>
      <c r="I21" s="56">
        <v>9971318</v>
      </c>
      <c r="J21" s="55">
        <v>10175740</v>
      </c>
      <c r="K21" s="55">
        <v>10324258</v>
      </c>
      <c r="L21" s="55">
        <v>10478133</v>
      </c>
      <c r="M21" s="53">
        <v>10641163</v>
      </c>
      <c r="N21" s="54">
        <v>10739673</v>
      </c>
      <c r="O21" s="92">
        <v>92.663980788658606</v>
      </c>
      <c r="P21" s="19">
        <v>92.381718011581597</v>
      </c>
      <c r="Q21" s="19">
        <v>91.098454550339682</v>
      </c>
      <c r="R21" s="19">
        <v>90.746125822695674</v>
      </c>
      <c r="S21" s="18">
        <v>91.240497641939569</v>
      </c>
      <c r="T21" s="51">
        <v>91.255254240715743</v>
      </c>
      <c r="V21" s="6"/>
      <c r="W21" s="6"/>
      <c r="X21" s="91"/>
    </row>
    <row r="22" spans="1:29" s="5" customFormat="1" ht="8.4499999999999993" customHeight="1" x14ac:dyDescent="0.15">
      <c r="A22" s="112" t="s">
        <v>53</v>
      </c>
      <c r="B22" s="110" t="s">
        <v>27</v>
      </c>
      <c r="C22" s="81">
        <v>1480468</v>
      </c>
      <c r="D22" s="80">
        <v>1497908</v>
      </c>
      <c r="E22" s="80">
        <v>1530431</v>
      </c>
      <c r="F22" s="80">
        <v>1544663</v>
      </c>
      <c r="G22" s="78">
        <v>1555867</v>
      </c>
      <c r="H22" s="79">
        <v>1564588</v>
      </c>
      <c r="I22" s="81">
        <v>1367105</v>
      </c>
      <c r="J22" s="80">
        <v>1419384</v>
      </c>
      <c r="K22" s="80">
        <v>1460855</v>
      </c>
      <c r="L22" s="80">
        <v>1495405</v>
      </c>
      <c r="M22" s="78">
        <v>1509272</v>
      </c>
      <c r="N22" s="79">
        <v>1522927</v>
      </c>
      <c r="O22" s="93">
        <v>92.342759181556104</v>
      </c>
      <c r="P22" s="27">
        <v>94.757755482980272</v>
      </c>
      <c r="Q22" s="27">
        <v>95.453829672817662</v>
      </c>
      <c r="R22" s="27">
        <v>96.811084359501066</v>
      </c>
      <c r="S22" s="26">
        <v>97.0052067432499</v>
      </c>
      <c r="T22" s="76">
        <v>97.337254280360071</v>
      </c>
      <c r="V22" s="6"/>
      <c r="W22" s="6"/>
      <c r="X22" s="91"/>
    </row>
    <row r="23" spans="1:29" s="5" customFormat="1" ht="8.4499999999999993" customHeight="1" x14ac:dyDescent="0.15">
      <c r="A23" s="113" t="s">
        <v>52</v>
      </c>
      <c r="B23" s="114" t="s">
        <v>42</v>
      </c>
      <c r="C23" s="89">
        <v>1021266</v>
      </c>
      <c r="D23" s="88">
        <v>1031251</v>
      </c>
      <c r="E23" s="88">
        <v>1056627</v>
      </c>
      <c r="F23" s="88">
        <v>1063893</v>
      </c>
      <c r="G23" s="86">
        <v>1070873</v>
      </c>
      <c r="H23" s="87">
        <v>1080560</v>
      </c>
      <c r="I23" s="89">
        <v>984148</v>
      </c>
      <c r="J23" s="88">
        <v>1000869</v>
      </c>
      <c r="K23" s="88">
        <v>1027675</v>
      </c>
      <c r="L23" s="88">
        <v>1036211</v>
      </c>
      <c r="M23" s="86">
        <v>1044262</v>
      </c>
      <c r="N23" s="87">
        <v>1054194</v>
      </c>
      <c r="O23" s="94">
        <v>96.365491458640548</v>
      </c>
      <c r="P23" s="29">
        <v>97.053869523520461</v>
      </c>
      <c r="Q23" s="29">
        <v>97.259960231945612</v>
      </c>
      <c r="R23" s="29">
        <v>97.398046608070544</v>
      </c>
      <c r="S23" s="28">
        <v>97.515018120729536</v>
      </c>
      <c r="T23" s="84">
        <v>97.559968905012212</v>
      </c>
      <c r="V23" s="6"/>
      <c r="W23" s="6"/>
      <c r="X23" s="91"/>
    </row>
    <row r="24" spans="1:29" s="5" customFormat="1" ht="8.4499999999999993" customHeight="1" x14ac:dyDescent="0.15">
      <c r="A24" s="113" t="s">
        <v>51</v>
      </c>
      <c r="B24" s="114" t="s">
        <v>14</v>
      </c>
      <c r="C24" s="89">
        <v>603107</v>
      </c>
      <c r="D24" s="88">
        <v>616485</v>
      </c>
      <c r="E24" s="88">
        <v>633582</v>
      </c>
      <c r="F24" s="88">
        <v>645712</v>
      </c>
      <c r="G24" s="86">
        <v>652355</v>
      </c>
      <c r="H24" s="87">
        <v>655433</v>
      </c>
      <c r="I24" s="89">
        <v>602499</v>
      </c>
      <c r="J24" s="88">
        <v>618012</v>
      </c>
      <c r="K24" s="88">
        <v>631681</v>
      </c>
      <c r="L24" s="88">
        <v>645814</v>
      </c>
      <c r="M24" s="86">
        <v>659202</v>
      </c>
      <c r="N24" s="87">
        <v>665794</v>
      </c>
      <c r="O24" s="94">
        <v>99.899188701175746</v>
      </c>
      <c r="P24" s="29">
        <v>100.24769459110927</v>
      </c>
      <c r="Q24" s="29">
        <v>99.699959910477247</v>
      </c>
      <c r="R24" s="29">
        <v>100.01579651609387</v>
      </c>
      <c r="S24" s="28">
        <v>101.04958189942592</v>
      </c>
      <c r="T24" s="84">
        <v>101.58078705222349</v>
      </c>
      <c r="V24" s="6"/>
      <c r="W24" s="6"/>
      <c r="X24" s="91"/>
    </row>
    <row r="25" spans="1:29" s="5" customFormat="1" ht="8.4499999999999993" customHeight="1" x14ac:dyDescent="0.15">
      <c r="A25" s="113" t="s">
        <v>50</v>
      </c>
      <c r="B25" s="114" t="s">
        <v>20</v>
      </c>
      <c r="C25" s="89">
        <v>624965</v>
      </c>
      <c r="D25" s="88">
        <v>635343</v>
      </c>
      <c r="E25" s="88">
        <v>652738</v>
      </c>
      <c r="F25" s="88">
        <v>664417</v>
      </c>
      <c r="G25" s="86">
        <v>673429</v>
      </c>
      <c r="H25" s="87">
        <v>680261</v>
      </c>
      <c r="I25" s="89">
        <v>592603</v>
      </c>
      <c r="J25" s="88">
        <v>604211</v>
      </c>
      <c r="K25" s="88">
        <v>622233</v>
      </c>
      <c r="L25" s="88">
        <v>634123</v>
      </c>
      <c r="M25" s="86">
        <v>643126</v>
      </c>
      <c r="N25" s="87">
        <v>642523</v>
      </c>
      <c r="O25" s="94">
        <v>94.821790020241139</v>
      </c>
      <c r="P25" s="29">
        <v>95.099969622707732</v>
      </c>
      <c r="Q25" s="29">
        <v>95.326608838461993</v>
      </c>
      <c r="R25" s="29">
        <v>95.440514014542075</v>
      </c>
      <c r="S25" s="28">
        <v>95.500193784348468</v>
      </c>
      <c r="T25" s="84">
        <v>94.452423408074253</v>
      </c>
      <c r="V25" s="6"/>
      <c r="W25" s="6"/>
      <c r="X25" s="91"/>
    </row>
    <row r="26" spans="1:29" s="5" customFormat="1" ht="8.4499999999999993" customHeight="1" x14ac:dyDescent="0.15">
      <c r="A26" s="113" t="s">
        <v>49</v>
      </c>
      <c r="B26" s="114" t="s">
        <v>6</v>
      </c>
      <c r="C26" s="89">
        <v>461756</v>
      </c>
      <c r="D26" s="88">
        <v>468659</v>
      </c>
      <c r="E26" s="88">
        <v>476893</v>
      </c>
      <c r="F26" s="88">
        <v>482650</v>
      </c>
      <c r="G26" s="86">
        <v>486143</v>
      </c>
      <c r="H26" s="87">
        <v>490690</v>
      </c>
      <c r="I26" s="89">
        <v>433523</v>
      </c>
      <c r="J26" s="88">
        <v>445116</v>
      </c>
      <c r="K26" s="88">
        <v>457465</v>
      </c>
      <c r="L26" s="88">
        <v>464252</v>
      </c>
      <c r="M26" s="86">
        <v>471006</v>
      </c>
      <c r="N26" s="87">
        <v>476965</v>
      </c>
      <c r="O26" s="94">
        <v>93.885731858384077</v>
      </c>
      <c r="P26" s="29">
        <v>94.976518108048708</v>
      </c>
      <c r="Q26" s="29">
        <v>95.926130180145236</v>
      </c>
      <c r="R26" s="29">
        <v>96.188128043095418</v>
      </c>
      <c r="S26" s="28">
        <v>96.886307115396093</v>
      </c>
      <c r="T26" s="84">
        <v>97.20291833948113</v>
      </c>
      <c r="U26" s="165"/>
      <c r="V26" s="6"/>
      <c r="W26" s="6"/>
      <c r="X26" s="91"/>
    </row>
    <row r="27" spans="1:29" s="5" customFormat="1" ht="8.4499999999999993" customHeight="1" x14ac:dyDescent="0.15">
      <c r="A27" s="196" t="s">
        <v>72</v>
      </c>
      <c r="B27" s="111" t="s">
        <v>22</v>
      </c>
      <c r="C27" s="89">
        <v>3203</v>
      </c>
      <c r="D27" s="88">
        <v>3249</v>
      </c>
      <c r="E27" s="88">
        <v>3333</v>
      </c>
      <c r="F27" s="88">
        <v>3382</v>
      </c>
      <c r="G27" s="86">
        <v>3262</v>
      </c>
      <c r="H27" s="87">
        <v>3149</v>
      </c>
      <c r="I27" s="89">
        <v>2058</v>
      </c>
      <c r="J27" s="88">
        <v>2090</v>
      </c>
      <c r="K27" s="88">
        <v>2231</v>
      </c>
      <c r="L27" s="88">
        <v>2278</v>
      </c>
      <c r="M27" s="86">
        <v>2356</v>
      </c>
      <c r="N27" s="87">
        <v>2367</v>
      </c>
      <c r="O27" s="94">
        <v>64.252263502965974</v>
      </c>
      <c r="P27" s="29">
        <v>64.327485380116954</v>
      </c>
      <c r="Q27" s="29">
        <v>66.936693669366932</v>
      </c>
      <c r="R27" s="29">
        <v>67.356593731519808</v>
      </c>
      <c r="S27" s="28">
        <v>72.225628448804414</v>
      </c>
      <c r="T27" s="84">
        <v>75.166719593521762</v>
      </c>
      <c r="V27" s="6"/>
      <c r="W27" s="6"/>
      <c r="X27" s="91"/>
    </row>
    <row r="28" spans="1:29" s="5" customFormat="1" ht="8.4499999999999993" customHeight="1" x14ac:dyDescent="0.15">
      <c r="A28" s="197"/>
      <c r="B28" s="109" t="s">
        <v>19</v>
      </c>
      <c r="C28" s="89">
        <v>120559</v>
      </c>
      <c r="D28" s="88">
        <v>132159</v>
      </c>
      <c r="E28" s="88">
        <v>140942</v>
      </c>
      <c r="F28" s="88">
        <v>150267</v>
      </c>
      <c r="G28" s="86">
        <v>156124</v>
      </c>
      <c r="H28" s="87">
        <v>157686</v>
      </c>
      <c r="I28" s="89">
        <v>98176</v>
      </c>
      <c r="J28" s="88">
        <v>106322</v>
      </c>
      <c r="K28" s="88">
        <v>108678</v>
      </c>
      <c r="L28" s="88">
        <v>109693</v>
      </c>
      <c r="M28" s="86">
        <v>111275</v>
      </c>
      <c r="N28" s="87">
        <v>110017</v>
      </c>
      <c r="O28" s="94">
        <v>81.433986678721624</v>
      </c>
      <c r="P28" s="29">
        <v>80.450063938135131</v>
      </c>
      <c r="Q28" s="29">
        <v>77.108314058265108</v>
      </c>
      <c r="R28" s="29">
        <v>72.998728929172742</v>
      </c>
      <c r="S28" s="28">
        <v>71.273474930183696</v>
      </c>
      <c r="T28" s="84">
        <v>69.769668835533906</v>
      </c>
      <c r="V28" s="6"/>
      <c r="W28" s="6"/>
      <c r="X28" s="91"/>
    </row>
    <row r="29" spans="1:29" s="5" customFormat="1" ht="8.4499999999999993" customHeight="1" x14ac:dyDescent="0.15">
      <c r="A29" s="198"/>
      <c r="B29" s="110" t="s">
        <v>4</v>
      </c>
      <c r="C29" s="89">
        <v>123762</v>
      </c>
      <c r="D29" s="88">
        <v>135408</v>
      </c>
      <c r="E29" s="88">
        <v>144275</v>
      </c>
      <c r="F29" s="88">
        <v>153649</v>
      </c>
      <c r="G29" s="86">
        <v>159386</v>
      </c>
      <c r="H29" s="87">
        <v>160835</v>
      </c>
      <c r="I29" s="89">
        <v>100234</v>
      </c>
      <c r="J29" s="88">
        <v>108412</v>
      </c>
      <c r="K29" s="88">
        <v>110909</v>
      </c>
      <c r="L29" s="88">
        <v>111971</v>
      </c>
      <c r="M29" s="86">
        <v>113631</v>
      </c>
      <c r="N29" s="87">
        <v>112384</v>
      </c>
      <c r="O29" s="94">
        <v>80.989318207527347</v>
      </c>
      <c r="P29" s="29">
        <v>80.063216353538934</v>
      </c>
      <c r="Q29" s="29">
        <v>76.873332178132031</v>
      </c>
      <c r="R29" s="29">
        <v>72.874538721371437</v>
      </c>
      <c r="S29" s="28">
        <v>71.292961740679857</v>
      </c>
      <c r="T29" s="84">
        <v>69.875338079398148</v>
      </c>
      <c r="V29" s="6"/>
      <c r="W29" s="6"/>
      <c r="X29" s="91"/>
    </row>
    <row r="30" spans="1:29" s="5" customFormat="1" ht="8.4499999999999993" customHeight="1" x14ac:dyDescent="0.15">
      <c r="A30" s="196" t="s">
        <v>48</v>
      </c>
      <c r="B30" s="111" t="s">
        <v>26</v>
      </c>
      <c r="C30" s="89">
        <v>215554</v>
      </c>
      <c r="D30" s="88">
        <v>218964</v>
      </c>
      <c r="E30" s="88">
        <v>223936</v>
      </c>
      <c r="F30" s="88">
        <v>226101</v>
      </c>
      <c r="G30" s="86">
        <v>218964</v>
      </c>
      <c r="H30" s="87">
        <v>231032</v>
      </c>
      <c r="I30" s="89">
        <v>124288</v>
      </c>
      <c r="J30" s="88">
        <v>131920</v>
      </c>
      <c r="K30" s="88">
        <v>135997</v>
      </c>
      <c r="L30" s="88">
        <v>142391</v>
      </c>
      <c r="M30" s="86">
        <v>145975</v>
      </c>
      <c r="N30" s="87">
        <v>148618</v>
      </c>
      <c r="O30" s="94">
        <v>57.659797544930733</v>
      </c>
      <c r="P30" s="29">
        <v>60.247346595787434</v>
      </c>
      <c r="Q30" s="29">
        <v>60.730297942269218</v>
      </c>
      <c r="R30" s="29">
        <v>62.976722792026571</v>
      </c>
      <c r="S30" s="28">
        <v>66.666209970588781</v>
      </c>
      <c r="T30" s="84">
        <v>64.327885314588457</v>
      </c>
      <c r="V30" s="6"/>
      <c r="W30" s="6"/>
      <c r="X30" s="91"/>
    </row>
    <row r="31" spans="1:29" s="5" customFormat="1" ht="8.4499999999999993" customHeight="1" x14ac:dyDescent="0.15">
      <c r="A31" s="197"/>
      <c r="B31" s="109" t="s">
        <v>25</v>
      </c>
      <c r="C31" s="89">
        <v>171577</v>
      </c>
      <c r="D31" s="88">
        <v>177415</v>
      </c>
      <c r="E31" s="88">
        <v>183583</v>
      </c>
      <c r="F31" s="88">
        <v>188488</v>
      </c>
      <c r="G31" s="86">
        <v>192522</v>
      </c>
      <c r="H31" s="87">
        <v>195183</v>
      </c>
      <c r="I31" s="89">
        <v>132674</v>
      </c>
      <c r="J31" s="88">
        <v>141464</v>
      </c>
      <c r="K31" s="88">
        <v>148603</v>
      </c>
      <c r="L31" s="88">
        <v>154371</v>
      </c>
      <c r="M31" s="86">
        <v>159612</v>
      </c>
      <c r="N31" s="87">
        <v>163765</v>
      </c>
      <c r="O31" s="94">
        <v>77.326215052134032</v>
      </c>
      <c r="P31" s="29">
        <v>79.736211707014633</v>
      </c>
      <c r="Q31" s="29">
        <v>80.945948154240867</v>
      </c>
      <c r="R31" s="29">
        <v>81.89964347862994</v>
      </c>
      <c r="S31" s="28">
        <v>82.905849721070837</v>
      </c>
      <c r="T31" s="84">
        <v>83.903311251492184</v>
      </c>
      <c r="V31" s="6"/>
      <c r="W31" s="6"/>
      <c r="X31" s="91"/>
    </row>
    <row r="32" spans="1:29" s="5" customFormat="1" ht="8.4499999999999993" customHeight="1" x14ac:dyDescent="0.15">
      <c r="A32" s="197"/>
      <c r="B32" s="109" t="s">
        <v>24</v>
      </c>
      <c r="C32" s="89">
        <v>171870</v>
      </c>
      <c r="D32" s="88">
        <v>174309</v>
      </c>
      <c r="E32" s="88">
        <v>177365</v>
      </c>
      <c r="F32" s="88">
        <v>178979</v>
      </c>
      <c r="G32" s="86">
        <v>180318</v>
      </c>
      <c r="H32" s="87">
        <v>180742</v>
      </c>
      <c r="I32" s="89">
        <v>56499</v>
      </c>
      <c r="J32" s="88">
        <v>60955</v>
      </c>
      <c r="K32" s="88">
        <v>66543</v>
      </c>
      <c r="L32" s="88">
        <v>71170</v>
      </c>
      <c r="M32" s="86">
        <v>76064</v>
      </c>
      <c r="N32" s="87">
        <v>78928</v>
      </c>
      <c r="O32" s="94">
        <v>32.873101762960374</v>
      </c>
      <c r="P32" s="29">
        <v>34.969508172268789</v>
      </c>
      <c r="Q32" s="29">
        <v>37.517548558058238</v>
      </c>
      <c r="R32" s="29">
        <v>39.764441638404506</v>
      </c>
      <c r="S32" s="28">
        <v>42.183254028993225</v>
      </c>
      <c r="T32" s="84">
        <v>43.668876077502738</v>
      </c>
      <c r="V32" s="6"/>
      <c r="W32" s="6"/>
      <c r="X32" s="91"/>
    </row>
    <row r="33" spans="1:24" s="5" customFormat="1" ht="8.4499999999999993" customHeight="1" x14ac:dyDescent="0.15">
      <c r="A33" s="197"/>
      <c r="B33" s="109" t="s">
        <v>23</v>
      </c>
      <c r="C33" s="89">
        <v>66312</v>
      </c>
      <c r="D33" s="88">
        <v>80030</v>
      </c>
      <c r="E33" s="88">
        <v>83573</v>
      </c>
      <c r="F33" s="88">
        <v>137494</v>
      </c>
      <c r="G33" s="86">
        <v>82806</v>
      </c>
      <c r="H33" s="87">
        <v>71800</v>
      </c>
      <c r="I33" s="89">
        <v>25314</v>
      </c>
      <c r="J33" s="88">
        <v>27618</v>
      </c>
      <c r="K33" s="88">
        <v>30511</v>
      </c>
      <c r="L33" s="88">
        <v>34178</v>
      </c>
      <c r="M33" s="86">
        <v>35535</v>
      </c>
      <c r="N33" s="87">
        <v>37875</v>
      </c>
      <c r="O33" s="94">
        <v>38.174086138255518</v>
      </c>
      <c r="P33" s="29">
        <v>34.509558915406721</v>
      </c>
      <c r="Q33" s="29">
        <v>36.50820240986922</v>
      </c>
      <c r="R33" s="29">
        <v>24.857811977249916</v>
      </c>
      <c r="S33" s="28">
        <v>42.913556988624016</v>
      </c>
      <c r="T33" s="84">
        <v>52.750696378830085</v>
      </c>
      <c r="V33" s="6"/>
      <c r="W33" s="6"/>
      <c r="X33" s="91"/>
    </row>
    <row r="34" spans="1:24" s="5" customFormat="1" ht="8.4499999999999993" customHeight="1" x14ac:dyDescent="0.15">
      <c r="A34" s="197"/>
      <c r="B34" s="109" t="s">
        <v>75</v>
      </c>
      <c r="C34" s="89">
        <v>21172</v>
      </c>
      <c r="D34" s="88">
        <v>21379</v>
      </c>
      <c r="E34" s="88">
        <v>21588</v>
      </c>
      <c r="F34" s="88">
        <v>21665</v>
      </c>
      <c r="G34" s="86">
        <v>21927</v>
      </c>
      <c r="H34" s="87">
        <v>21993</v>
      </c>
      <c r="I34" s="89">
        <v>835</v>
      </c>
      <c r="J34" s="88">
        <v>848</v>
      </c>
      <c r="K34" s="88">
        <v>1228</v>
      </c>
      <c r="L34" s="88">
        <v>1620</v>
      </c>
      <c r="M34" s="86">
        <v>1607</v>
      </c>
      <c r="N34" s="87">
        <v>1887</v>
      </c>
      <c r="O34" s="94">
        <v>3.9438881541658795</v>
      </c>
      <c r="P34" s="29">
        <v>3.9665091912624537</v>
      </c>
      <c r="Q34" s="29">
        <v>5.6883453770613306</v>
      </c>
      <c r="R34" s="29">
        <v>7.4774982690976222</v>
      </c>
      <c r="S34" s="28">
        <v>7.3288639576777488</v>
      </c>
      <c r="T34" s="84">
        <v>8.5800027281407711</v>
      </c>
      <c r="V34" s="6"/>
      <c r="W34" s="6"/>
      <c r="X34" s="91"/>
    </row>
    <row r="35" spans="1:24" s="5" customFormat="1" ht="8.4499999999999993" customHeight="1" x14ac:dyDescent="0.15">
      <c r="A35" s="198"/>
      <c r="B35" s="110" t="s">
        <v>4</v>
      </c>
      <c r="C35" s="89">
        <v>646485</v>
      </c>
      <c r="D35" s="88">
        <v>672097</v>
      </c>
      <c r="E35" s="88">
        <v>690045</v>
      </c>
      <c r="F35" s="88">
        <v>752727</v>
      </c>
      <c r="G35" s="86">
        <v>696537</v>
      </c>
      <c r="H35" s="87">
        <v>700750</v>
      </c>
      <c r="I35" s="89">
        <v>339610</v>
      </c>
      <c r="J35" s="88">
        <v>362805</v>
      </c>
      <c r="K35" s="88">
        <v>382882</v>
      </c>
      <c r="L35" s="88">
        <v>403730</v>
      </c>
      <c r="M35" s="86">
        <v>418793</v>
      </c>
      <c r="N35" s="87">
        <v>431073</v>
      </c>
      <c r="O35" s="94">
        <v>52.531767945118602</v>
      </c>
      <c r="P35" s="29">
        <v>53.981047378577799</v>
      </c>
      <c r="Q35" s="29">
        <v>55.486526241042256</v>
      </c>
      <c r="R35" s="29">
        <v>53.63564745252927</v>
      </c>
      <c r="S35" s="28">
        <v>60.125018484301627</v>
      </c>
      <c r="T35" s="84">
        <v>61.515947199429192</v>
      </c>
      <c r="V35" s="6"/>
      <c r="W35" s="6"/>
      <c r="X35" s="91"/>
    </row>
    <row r="36" spans="1:24" s="5" customFormat="1" ht="8.4499999999999993" customHeight="1" x14ac:dyDescent="0.15">
      <c r="A36" s="196" t="s">
        <v>47</v>
      </c>
      <c r="B36" s="111" t="s">
        <v>22</v>
      </c>
      <c r="C36" s="89">
        <v>614057</v>
      </c>
      <c r="D36" s="88">
        <v>626475</v>
      </c>
      <c r="E36" s="88">
        <v>647624</v>
      </c>
      <c r="F36" s="88">
        <v>661021</v>
      </c>
      <c r="G36" s="86">
        <v>671005</v>
      </c>
      <c r="H36" s="87">
        <v>677824</v>
      </c>
      <c r="I36" s="89">
        <v>402619</v>
      </c>
      <c r="J36" s="88">
        <v>413153</v>
      </c>
      <c r="K36" s="88">
        <v>432168</v>
      </c>
      <c r="L36" s="88">
        <v>446400</v>
      </c>
      <c r="M36" s="86">
        <v>457107</v>
      </c>
      <c r="N36" s="87">
        <v>466266</v>
      </c>
      <c r="O36" s="94">
        <v>65.567040193337107</v>
      </c>
      <c r="P36" s="29">
        <v>65.948840735863371</v>
      </c>
      <c r="Q36" s="29">
        <v>66.731313231134109</v>
      </c>
      <c r="R36" s="29">
        <v>67.531893843009527</v>
      </c>
      <c r="S36" s="28">
        <v>68.122741261242467</v>
      </c>
      <c r="T36" s="84">
        <v>68.788653101690116</v>
      </c>
      <c r="V36" s="6"/>
      <c r="W36" s="6"/>
      <c r="X36" s="91"/>
    </row>
    <row r="37" spans="1:24" s="5" customFormat="1" ht="8.4499999999999993" customHeight="1" x14ac:dyDescent="0.15">
      <c r="A37" s="197"/>
      <c r="B37" s="109" t="s">
        <v>21</v>
      </c>
      <c r="C37" s="89">
        <v>93163</v>
      </c>
      <c r="D37" s="88">
        <v>95648</v>
      </c>
      <c r="E37" s="88">
        <v>98020</v>
      </c>
      <c r="F37" s="88">
        <v>100080</v>
      </c>
      <c r="G37" s="86">
        <v>100843</v>
      </c>
      <c r="H37" s="87">
        <v>102143</v>
      </c>
      <c r="I37" s="89">
        <v>69584</v>
      </c>
      <c r="J37" s="88">
        <v>74400</v>
      </c>
      <c r="K37" s="88">
        <v>76458</v>
      </c>
      <c r="L37" s="88">
        <v>79465</v>
      </c>
      <c r="M37" s="86">
        <v>79846</v>
      </c>
      <c r="N37" s="87">
        <v>82521</v>
      </c>
      <c r="O37" s="94">
        <v>74.690596052080764</v>
      </c>
      <c r="P37" s="29">
        <v>77.785212445633988</v>
      </c>
      <c r="Q37" s="29">
        <v>78.002448479902071</v>
      </c>
      <c r="R37" s="29">
        <v>79.401478816946451</v>
      </c>
      <c r="S37" s="28">
        <v>79.17852503396368</v>
      </c>
      <c r="T37" s="84">
        <v>80.789677217234654</v>
      </c>
      <c r="V37" s="6"/>
      <c r="W37" s="6"/>
      <c r="X37" s="91"/>
    </row>
    <row r="38" spans="1:24" s="5" customFormat="1" ht="8.4499999999999993" customHeight="1" x14ac:dyDescent="0.15">
      <c r="A38" s="198"/>
      <c r="B38" s="110" t="s">
        <v>4</v>
      </c>
      <c r="C38" s="89">
        <v>707220</v>
      </c>
      <c r="D38" s="88">
        <v>722123</v>
      </c>
      <c r="E38" s="88">
        <v>745644</v>
      </c>
      <c r="F38" s="88">
        <v>761101</v>
      </c>
      <c r="G38" s="86">
        <v>771848</v>
      </c>
      <c r="H38" s="87">
        <v>779967</v>
      </c>
      <c r="I38" s="89">
        <v>472203</v>
      </c>
      <c r="J38" s="88">
        <v>487553</v>
      </c>
      <c r="K38" s="88">
        <v>508626</v>
      </c>
      <c r="L38" s="88">
        <v>525865</v>
      </c>
      <c r="M38" s="86">
        <v>536953</v>
      </c>
      <c r="N38" s="87">
        <v>548787</v>
      </c>
      <c r="O38" s="94">
        <v>66.768897938406724</v>
      </c>
      <c r="P38" s="29">
        <v>67.516614205613166</v>
      </c>
      <c r="Q38" s="29">
        <v>68.212980993610898</v>
      </c>
      <c r="R38" s="29">
        <v>69.092669698239789</v>
      </c>
      <c r="S38" s="28">
        <v>69.567194577170639</v>
      </c>
      <c r="T38" s="84">
        <v>70.360284473573884</v>
      </c>
      <c r="V38" s="6"/>
      <c r="W38" s="6"/>
      <c r="X38" s="91"/>
    </row>
    <row r="39" spans="1:24" s="5" customFormat="1" ht="8.4499999999999993" customHeight="1" x14ac:dyDescent="0.15">
      <c r="A39" s="196" t="s">
        <v>46</v>
      </c>
      <c r="B39" s="111" t="s">
        <v>20</v>
      </c>
      <c r="C39" s="89">
        <v>15860</v>
      </c>
      <c r="D39" s="88">
        <v>15967</v>
      </c>
      <c r="E39" s="88">
        <v>16531</v>
      </c>
      <c r="F39" s="88">
        <v>16893</v>
      </c>
      <c r="G39" s="86">
        <v>18051</v>
      </c>
      <c r="H39" s="87">
        <v>19404</v>
      </c>
      <c r="I39" s="89">
        <v>15049</v>
      </c>
      <c r="J39" s="88">
        <v>15188</v>
      </c>
      <c r="K39" s="88">
        <v>15721</v>
      </c>
      <c r="L39" s="88">
        <v>16218</v>
      </c>
      <c r="M39" s="86">
        <v>17220</v>
      </c>
      <c r="N39" s="87">
        <v>19920</v>
      </c>
      <c r="O39" s="94">
        <v>94.886506935687265</v>
      </c>
      <c r="P39" s="29">
        <v>95.121187449113791</v>
      </c>
      <c r="Q39" s="29">
        <v>95.10011493557559</v>
      </c>
      <c r="R39" s="29">
        <v>96.004262120404903</v>
      </c>
      <c r="S39" s="28">
        <v>95.39637693202593</v>
      </c>
      <c r="T39" s="84">
        <v>102.65924551638837</v>
      </c>
      <c r="V39" s="6"/>
      <c r="W39" s="6"/>
      <c r="X39" s="91"/>
    </row>
    <row r="40" spans="1:24" s="5" customFormat="1" ht="8.4499999999999993" customHeight="1" x14ac:dyDescent="0.15">
      <c r="A40" s="197"/>
      <c r="B40" s="109" t="s">
        <v>19</v>
      </c>
      <c r="C40" s="89">
        <v>662066</v>
      </c>
      <c r="D40" s="88">
        <v>674099</v>
      </c>
      <c r="E40" s="88">
        <v>691789</v>
      </c>
      <c r="F40" s="88">
        <v>705125</v>
      </c>
      <c r="G40" s="86">
        <v>717725</v>
      </c>
      <c r="H40" s="87">
        <v>728396</v>
      </c>
      <c r="I40" s="89">
        <v>464020</v>
      </c>
      <c r="J40" s="88">
        <v>482511</v>
      </c>
      <c r="K40" s="88">
        <v>500381</v>
      </c>
      <c r="L40" s="88">
        <v>516891</v>
      </c>
      <c r="M40" s="86">
        <v>534635</v>
      </c>
      <c r="N40" s="87">
        <v>551679</v>
      </c>
      <c r="O40" s="94">
        <v>70.086668096534183</v>
      </c>
      <c r="P40" s="29">
        <v>71.57865536071111</v>
      </c>
      <c r="Q40" s="29">
        <v>72.331447883675509</v>
      </c>
      <c r="R40" s="29">
        <v>73.304875022159194</v>
      </c>
      <c r="S40" s="28">
        <v>74.490229544742064</v>
      </c>
      <c r="T40" s="84">
        <v>75.738883793980193</v>
      </c>
      <c r="V40" s="6"/>
      <c r="W40" s="6"/>
      <c r="X40" s="91"/>
    </row>
    <row r="41" spans="1:24" s="5" customFormat="1" ht="8.4499999999999993" customHeight="1" x14ac:dyDescent="0.15">
      <c r="A41" s="197"/>
      <c r="B41" s="109" t="s">
        <v>18</v>
      </c>
      <c r="C41" s="89">
        <v>263995</v>
      </c>
      <c r="D41" s="88">
        <v>269189</v>
      </c>
      <c r="E41" s="88">
        <v>274833</v>
      </c>
      <c r="F41" s="88">
        <v>279638</v>
      </c>
      <c r="G41" s="86">
        <v>284560</v>
      </c>
      <c r="H41" s="87">
        <v>287649</v>
      </c>
      <c r="I41" s="89">
        <v>155022</v>
      </c>
      <c r="J41" s="88">
        <v>162243</v>
      </c>
      <c r="K41" s="88">
        <v>171794</v>
      </c>
      <c r="L41" s="88">
        <v>177555</v>
      </c>
      <c r="M41" s="86">
        <v>190471</v>
      </c>
      <c r="N41" s="87">
        <v>197067</v>
      </c>
      <c r="O41" s="94">
        <v>58.721566696338947</v>
      </c>
      <c r="P41" s="29">
        <v>60.271036335065695</v>
      </c>
      <c r="Q41" s="29">
        <v>62.50850516495472</v>
      </c>
      <c r="R41" s="29">
        <v>63.494589433481863</v>
      </c>
      <c r="S41" s="28">
        <v>66.935268484678105</v>
      </c>
      <c r="T41" s="84">
        <v>68.509537665696726</v>
      </c>
      <c r="V41" s="6"/>
      <c r="W41" s="6"/>
      <c r="X41" s="91"/>
    </row>
    <row r="42" spans="1:24" s="5" customFormat="1" ht="8.4499999999999993" customHeight="1" x14ac:dyDescent="0.15">
      <c r="A42" s="198"/>
      <c r="B42" s="110" t="s">
        <v>4</v>
      </c>
      <c r="C42" s="89">
        <v>941921</v>
      </c>
      <c r="D42" s="88">
        <v>959255</v>
      </c>
      <c r="E42" s="88">
        <v>983153</v>
      </c>
      <c r="F42" s="88">
        <v>1001656</v>
      </c>
      <c r="G42" s="86">
        <v>1020336</v>
      </c>
      <c r="H42" s="87">
        <v>1035449</v>
      </c>
      <c r="I42" s="89">
        <v>634091</v>
      </c>
      <c r="J42" s="88">
        <v>659942</v>
      </c>
      <c r="K42" s="88">
        <v>687896</v>
      </c>
      <c r="L42" s="88">
        <v>710664</v>
      </c>
      <c r="M42" s="86">
        <v>742326</v>
      </c>
      <c r="N42" s="87">
        <v>768666</v>
      </c>
      <c r="O42" s="94">
        <v>67.318915280580853</v>
      </c>
      <c r="P42" s="29">
        <v>68.797347941892411</v>
      </c>
      <c r="Q42" s="29">
        <v>69.96835690884329</v>
      </c>
      <c r="R42" s="29">
        <v>70.94890860734624</v>
      </c>
      <c r="S42" s="28">
        <v>72.753093098743946</v>
      </c>
      <c r="T42" s="84">
        <v>74.235041996274077</v>
      </c>
      <c r="V42" s="6"/>
      <c r="W42" s="6"/>
      <c r="X42" s="91"/>
    </row>
    <row r="43" spans="1:24" s="5" customFormat="1" ht="8.4499999999999993" customHeight="1" x14ac:dyDescent="0.15">
      <c r="A43" s="196" t="s">
        <v>45</v>
      </c>
      <c r="B43" s="111" t="s">
        <v>17</v>
      </c>
      <c r="C43" s="89">
        <v>442977</v>
      </c>
      <c r="D43" s="88">
        <v>450802</v>
      </c>
      <c r="E43" s="88">
        <v>465125</v>
      </c>
      <c r="F43" s="88">
        <v>474982</v>
      </c>
      <c r="G43" s="86">
        <v>480267</v>
      </c>
      <c r="H43" s="87">
        <v>484583</v>
      </c>
      <c r="I43" s="89">
        <v>336153</v>
      </c>
      <c r="J43" s="88">
        <v>346739</v>
      </c>
      <c r="K43" s="88">
        <v>359695</v>
      </c>
      <c r="L43" s="88">
        <v>368874</v>
      </c>
      <c r="M43" s="86">
        <v>378394</v>
      </c>
      <c r="N43" s="87">
        <v>383165</v>
      </c>
      <c r="O43" s="94">
        <v>75.88497822686054</v>
      </c>
      <c r="P43" s="29">
        <v>76.916029653816977</v>
      </c>
      <c r="Q43" s="29">
        <v>77.332975006718627</v>
      </c>
      <c r="R43" s="29">
        <v>77.660627139554762</v>
      </c>
      <c r="S43" s="28">
        <v>78.788257365173948</v>
      </c>
      <c r="T43" s="84">
        <v>79.07107760693215</v>
      </c>
      <c r="V43" s="6"/>
      <c r="W43" s="6"/>
      <c r="X43" s="91"/>
    </row>
    <row r="44" spans="1:24" s="5" customFormat="1" ht="8.4499999999999993" customHeight="1" x14ac:dyDescent="0.15">
      <c r="A44" s="197"/>
      <c r="B44" s="109" t="s">
        <v>16</v>
      </c>
      <c r="C44" s="89">
        <v>172305</v>
      </c>
      <c r="D44" s="88">
        <v>173623</v>
      </c>
      <c r="E44" s="88">
        <v>177246</v>
      </c>
      <c r="F44" s="88">
        <v>178231</v>
      </c>
      <c r="G44" s="86">
        <v>179375</v>
      </c>
      <c r="H44" s="87">
        <v>180137</v>
      </c>
      <c r="I44" s="89">
        <v>109542</v>
      </c>
      <c r="J44" s="88">
        <v>111119</v>
      </c>
      <c r="K44" s="88">
        <v>116419</v>
      </c>
      <c r="L44" s="88">
        <v>119932</v>
      </c>
      <c r="M44" s="86">
        <v>123751</v>
      </c>
      <c r="N44" s="87">
        <v>125947</v>
      </c>
      <c r="O44" s="94">
        <v>63.57447549403674</v>
      </c>
      <c r="P44" s="29">
        <v>64.000161268956305</v>
      </c>
      <c r="Q44" s="29">
        <v>65.682159258883132</v>
      </c>
      <c r="R44" s="29">
        <v>67.290202041171284</v>
      </c>
      <c r="S44" s="28">
        <v>68.99010452961673</v>
      </c>
      <c r="T44" s="84">
        <v>69.917340690696534</v>
      </c>
      <c r="V44" s="6"/>
      <c r="W44" s="6"/>
      <c r="X44" s="91"/>
    </row>
    <row r="45" spans="1:24" s="5" customFormat="1" ht="8.4499999999999993" customHeight="1" x14ac:dyDescent="0.15">
      <c r="A45" s="197"/>
      <c r="B45" s="109" t="s">
        <v>15</v>
      </c>
      <c r="C45" s="89">
        <v>179626</v>
      </c>
      <c r="D45" s="88">
        <v>180458</v>
      </c>
      <c r="E45" s="88">
        <v>182735</v>
      </c>
      <c r="F45" s="88">
        <v>18204</v>
      </c>
      <c r="G45" s="86">
        <v>184684</v>
      </c>
      <c r="H45" s="87">
        <v>185041</v>
      </c>
      <c r="I45" s="89">
        <v>111015</v>
      </c>
      <c r="J45" s="88">
        <v>113802</v>
      </c>
      <c r="K45" s="88">
        <v>116072</v>
      </c>
      <c r="L45" s="88">
        <v>122497</v>
      </c>
      <c r="M45" s="86">
        <v>125264</v>
      </c>
      <c r="N45" s="87">
        <v>123316</v>
      </c>
      <c r="O45" s="94">
        <v>61.80341375970071</v>
      </c>
      <c r="P45" s="29">
        <v>63.062873355573046</v>
      </c>
      <c r="Q45" s="29">
        <v>63.519303910033656</v>
      </c>
      <c r="R45" s="29">
        <v>672.91254669303453</v>
      </c>
      <c r="S45" s="28">
        <v>67.826124623681523</v>
      </c>
      <c r="T45" s="84">
        <v>66.642527872201299</v>
      </c>
      <c r="V45" s="166"/>
      <c r="W45" s="6"/>
      <c r="X45" s="91"/>
    </row>
    <row r="46" spans="1:24" s="5" customFormat="1" ht="8.4499999999999993" customHeight="1" x14ac:dyDescent="0.15">
      <c r="A46" s="198"/>
      <c r="B46" s="110" t="s">
        <v>4</v>
      </c>
      <c r="C46" s="89">
        <v>794908</v>
      </c>
      <c r="D46" s="88">
        <v>804883</v>
      </c>
      <c r="E46" s="88">
        <v>825106</v>
      </c>
      <c r="F46" s="88">
        <v>671417</v>
      </c>
      <c r="G46" s="86">
        <v>844326</v>
      </c>
      <c r="H46" s="87">
        <v>849761</v>
      </c>
      <c r="I46" s="89">
        <v>556710</v>
      </c>
      <c r="J46" s="88">
        <v>571660</v>
      </c>
      <c r="K46" s="88">
        <v>592186</v>
      </c>
      <c r="L46" s="88">
        <v>611303</v>
      </c>
      <c r="M46" s="86">
        <v>627409</v>
      </c>
      <c r="N46" s="87">
        <v>632428</v>
      </c>
      <c r="O46" s="94">
        <v>70.0345197180051</v>
      </c>
      <c r="P46" s="29">
        <v>71.023987337290023</v>
      </c>
      <c r="Q46" s="29">
        <v>71.770899738942632</v>
      </c>
      <c r="R46" s="29">
        <v>91.04669676222079</v>
      </c>
      <c r="S46" s="28">
        <v>74.308857005469449</v>
      </c>
      <c r="T46" s="84">
        <v>74.424220457281521</v>
      </c>
      <c r="V46" s="6"/>
      <c r="W46" s="6"/>
      <c r="X46" s="91"/>
    </row>
    <row r="47" spans="1:24" s="5" customFormat="1" ht="8.4499999999999993" customHeight="1" x14ac:dyDescent="0.15">
      <c r="A47" s="196" t="s">
        <v>44</v>
      </c>
      <c r="B47" s="111" t="s">
        <v>14</v>
      </c>
      <c r="C47" s="89">
        <v>229037</v>
      </c>
      <c r="D47" s="88">
        <v>232055</v>
      </c>
      <c r="E47" s="88">
        <v>237485</v>
      </c>
      <c r="F47" s="88">
        <v>239657</v>
      </c>
      <c r="G47" s="86">
        <v>240524</v>
      </c>
      <c r="H47" s="87">
        <v>240626</v>
      </c>
      <c r="I47" s="89">
        <v>69446</v>
      </c>
      <c r="J47" s="88">
        <v>74780</v>
      </c>
      <c r="K47" s="88">
        <v>79290</v>
      </c>
      <c r="L47" s="88">
        <v>84564</v>
      </c>
      <c r="M47" s="86">
        <v>87797</v>
      </c>
      <c r="N47" s="87">
        <v>89780</v>
      </c>
      <c r="O47" s="94">
        <v>30.320865187720763</v>
      </c>
      <c r="P47" s="29">
        <v>32.225119045053972</v>
      </c>
      <c r="Q47" s="29">
        <v>33.387371834010573</v>
      </c>
      <c r="R47" s="29">
        <v>35.285428758600837</v>
      </c>
      <c r="S47" s="28">
        <v>36.502386456237218</v>
      </c>
      <c r="T47" s="84">
        <v>37.311013772410298</v>
      </c>
      <c r="V47" s="6"/>
      <c r="W47" s="6"/>
      <c r="X47" s="91"/>
    </row>
    <row r="48" spans="1:24" s="5" customFormat="1" ht="8.4499999999999993" customHeight="1" x14ac:dyDescent="0.15">
      <c r="A48" s="197"/>
      <c r="B48" s="109" t="s">
        <v>119</v>
      </c>
      <c r="C48" s="89">
        <v>183222</v>
      </c>
      <c r="D48" s="88">
        <v>184882</v>
      </c>
      <c r="E48" s="88">
        <v>189869</v>
      </c>
      <c r="F48" s="88">
        <v>192690</v>
      </c>
      <c r="G48" s="86">
        <v>194141</v>
      </c>
      <c r="H48" s="87">
        <v>195077</v>
      </c>
      <c r="I48" s="89">
        <v>121276</v>
      </c>
      <c r="J48" s="88">
        <v>126827</v>
      </c>
      <c r="K48" s="88">
        <v>135354</v>
      </c>
      <c r="L48" s="88">
        <v>141149</v>
      </c>
      <c r="M48" s="86">
        <v>147186</v>
      </c>
      <c r="N48" s="87">
        <v>151116</v>
      </c>
      <c r="O48" s="94">
        <v>66.190741286526716</v>
      </c>
      <c r="P48" s="29">
        <v>68.598890102876425</v>
      </c>
      <c r="Q48" s="29">
        <v>71.288098636428273</v>
      </c>
      <c r="R48" s="29">
        <v>73.251855311640455</v>
      </c>
      <c r="S48" s="28">
        <v>75.813970258729483</v>
      </c>
      <c r="T48" s="84">
        <v>77.464795952367524</v>
      </c>
      <c r="V48" s="6"/>
      <c r="W48" s="6"/>
      <c r="X48" s="91"/>
    </row>
    <row r="49" spans="1:24" s="5" customFormat="1" ht="8.4499999999999993" customHeight="1" x14ac:dyDescent="0.15">
      <c r="A49" s="197"/>
      <c r="B49" s="109" t="s">
        <v>13</v>
      </c>
      <c r="C49" s="89">
        <v>263406</v>
      </c>
      <c r="D49" s="88">
        <v>268270</v>
      </c>
      <c r="E49" s="88">
        <v>273902</v>
      </c>
      <c r="F49" s="88">
        <v>278020</v>
      </c>
      <c r="G49" s="86">
        <v>280230</v>
      </c>
      <c r="H49" s="87">
        <v>282910</v>
      </c>
      <c r="I49" s="89">
        <v>149330</v>
      </c>
      <c r="J49" s="88">
        <v>156373</v>
      </c>
      <c r="K49" s="88">
        <v>161594</v>
      </c>
      <c r="L49" s="88">
        <v>166947</v>
      </c>
      <c r="M49" s="86">
        <v>172219</v>
      </c>
      <c r="N49" s="87">
        <v>179046</v>
      </c>
      <c r="O49" s="94">
        <v>56.691950828758642</v>
      </c>
      <c r="P49" s="29">
        <v>58.289409922838928</v>
      </c>
      <c r="Q49" s="29">
        <v>58.997013530386781</v>
      </c>
      <c r="R49" s="29">
        <v>60.048557657722469</v>
      </c>
      <c r="S49" s="28">
        <v>61.456303750490669</v>
      </c>
      <c r="T49" s="84">
        <v>63.287264501078077</v>
      </c>
      <c r="V49" s="6"/>
      <c r="W49" s="6"/>
      <c r="X49" s="91"/>
    </row>
    <row r="50" spans="1:24" s="5" customFormat="1" ht="8.4499999999999993" customHeight="1" x14ac:dyDescent="0.15">
      <c r="A50" s="197"/>
      <c r="B50" s="109" t="s">
        <v>12</v>
      </c>
      <c r="C50" s="89">
        <v>116889</v>
      </c>
      <c r="D50" s="88">
        <v>119518</v>
      </c>
      <c r="E50" s="88">
        <v>122743</v>
      </c>
      <c r="F50" s="88">
        <v>123947</v>
      </c>
      <c r="G50" s="86">
        <v>124480</v>
      </c>
      <c r="H50" s="87">
        <v>124489</v>
      </c>
      <c r="I50" s="89">
        <v>83351</v>
      </c>
      <c r="J50" s="88">
        <v>89055</v>
      </c>
      <c r="K50" s="88">
        <v>94403</v>
      </c>
      <c r="L50" s="88">
        <v>98021</v>
      </c>
      <c r="M50" s="86">
        <v>101340</v>
      </c>
      <c r="N50" s="87">
        <v>106264</v>
      </c>
      <c r="O50" s="94">
        <v>71.307821950739594</v>
      </c>
      <c r="P50" s="29">
        <v>74.511789019227223</v>
      </c>
      <c r="Q50" s="29">
        <v>76.911106947035677</v>
      </c>
      <c r="R50" s="29">
        <v>79.082995151153312</v>
      </c>
      <c r="S50" s="28">
        <v>81.410668380462724</v>
      </c>
      <c r="T50" s="84">
        <v>85.360152302613074</v>
      </c>
      <c r="V50" s="6"/>
      <c r="W50" s="6"/>
      <c r="X50" s="91"/>
    </row>
    <row r="51" spans="1:24" s="5" customFormat="1" ht="8.4499999999999993" customHeight="1" x14ac:dyDescent="0.15">
      <c r="A51" s="198"/>
      <c r="B51" s="110" t="s">
        <v>4</v>
      </c>
      <c r="C51" s="89">
        <v>792554</v>
      </c>
      <c r="D51" s="88">
        <v>804725</v>
      </c>
      <c r="E51" s="88">
        <v>823999</v>
      </c>
      <c r="F51" s="88">
        <v>834314</v>
      </c>
      <c r="G51" s="86">
        <v>839375</v>
      </c>
      <c r="H51" s="87">
        <v>843102</v>
      </c>
      <c r="I51" s="89">
        <v>423403</v>
      </c>
      <c r="J51" s="88">
        <v>447035</v>
      </c>
      <c r="K51" s="88">
        <v>470641</v>
      </c>
      <c r="L51" s="88">
        <v>490681</v>
      </c>
      <c r="M51" s="86">
        <v>508542</v>
      </c>
      <c r="N51" s="87">
        <v>526206</v>
      </c>
      <c r="O51" s="94">
        <v>53.422605904455722</v>
      </c>
      <c r="P51" s="29">
        <v>55.551275280375279</v>
      </c>
      <c r="Q51" s="29">
        <v>57.116695529970308</v>
      </c>
      <c r="R51" s="29">
        <v>58.812509438892313</v>
      </c>
      <c r="S51" s="28">
        <v>60.585793000744601</v>
      </c>
      <c r="T51" s="84">
        <v>62.41308880775992</v>
      </c>
      <c r="V51" s="6"/>
      <c r="W51" s="6"/>
      <c r="X51" s="91"/>
    </row>
    <row r="52" spans="1:24" s="5" customFormat="1" ht="8.4499999999999993" customHeight="1" x14ac:dyDescent="0.15">
      <c r="A52" s="196" t="s">
        <v>43</v>
      </c>
      <c r="B52" s="111" t="s">
        <v>42</v>
      </c>
      <c r="C52" s="89">
        <v>131582</v>
      </c>
      <c r="D52" s="88">
        <v>134683</v>
      </c>
      <c r="E52" s="88">
        <v>139076</v>
      </c>
      <c r="F52" s="88">
        <v>144390</v>
      </c>
      <c r="G52" s="86">
        <v>147113</v>
      </c>
      <c r="H52" s="87">
        <v>149266</v>
      </c>
      <c r="I52" s="89">
        <v>120514</v>
      </c>
      <c r="J52" s="88">
        <v>124270</v>
      </c>
      <c r="K52" s="88">
        <v>128113</v>
      </c>
      <c r="L52" s="88">
        <v>132716</v>
      </c>
      <c r="M52" s="86">
        <v>134698</v>
      </c>
      <c r="N52" s="87">
        <v>136625</v>
      </c>
      <c r="O52" s="94">
        <v>91.5885151464486</v>
      </c>
      <c r="P52" s="29">
        <v>92.268511987407464</v>
      </c>
      <c r="Q52" s="29">
        <v>92.117259627829384</v>
      </c>
      <c r="R52" s="29">
        <v>91.914952559041481</v>
      </c>
      <c r="S52" s="28">
        <v>91.560908961138722</v>
      </c>
      <c r="T52" s="84">
        <v>91.531226133211845</v>
      </c>
      <c r="V52" s="6"/>
      <c r="W52" s="6"/>
      <c r="X52" s="91"/>
    </row>
    <row r="53" spans="1:24" s="5" customFormat="1" ht="8.4499999999999993" customHeight="1" x14ac:dyDescent="0.15">
      <c r="A53" s="197"/>
      <c r="B53" s="96" t="s">
        <v>11</v>
      </c>
      <c r="C53" s="89">
        <v>413475</v>
      </c>
      <c r="D53" s="88">
        <v>418417</v>
      </c>
      <c r="E53" s="88">
        <v>428621</v>
      </c>
      <c r="F53" s="88">
        <v>434862</v>
      </c>
      <c r="G53" s="86">
        <v>441999</v>
      </c>
      <c r="H53" s="87">
        <v>441754</v>
      </c>
      <c r="I53" s="89">
        <v>265105</v>
      </c>
      <c r="J53" s="88">
        <v>272600</v>
      </c>
      <c r="K53" s="88">
        <v>282854</v>
      </c>
      <c r="L53" s="88">
        <v>292557</v>
      </c>
      <c r="M53" s="86">
        <v>298335</v>
      </c>
      <c r="N53" s="87">
        <v>303277</v>
      </c>
      <c r="O53" s="94">
        <v>64.116331096196859</v>
      </c>
      <c r="P53" s="29">
        <v>65.150316550235772</v>
      </c>
      <c r="Q53" s="29">
        <v>65.991633634376285</v>
      </c>
      <c r="R53" s="29">
        <v>67.275825434275703</v>
      </c>
      <c r="S53" s="28">
        <v>67.496759042441269</v>
      </c>
      <c r="T53" s="84">
        <v>68.652915423516262</v>
      </c>
      <c r="V53" s="6"/>
      <c r="W53" s="6"/>
      <c r="X53" s="91"/>
    </row>
    <row r="54" spans="1:24" s="5" customFormat="1" ht="8.4499999999999993" customHeight="1" x14ac:dyDescent="0.15">
      <c r="A54" s="197"/>
      <c r="B54" s="96" t="s">
        <v>10</v>
      </c>
      <c r="C54" s="89">
        <v>261914</v>
      </c>
      <c r="D54" s="88">
        <v>265657</v>
      </c>
      <c r="E54" s="88">
        <v>271408</v>
      </c>
      <c r="F54" s="88">
        <v>277631</v>
      </c>
      <c r="G54" s="86">
        <v>277574</v>
      </c>
      <c r="H54" s="87">
        <v>279184</v>
      </c>
      <c r="I54" s="89">
        <v>193868</v>
      </c>
      <c r="J54" s="88">
        <v>199747</v>
      </c>
      <c r="K54" s="88">
        <v>205552</v>
      </c>
      <c r="L54" s="88">
        <v>211913</v>
      </c>
      <c r="M54" s="86">
        <v>211896</v>
      </c>
      <c r="N54" s="87">
        <v>219818</v>
      </c>
      <c r="O54" s="94">
        <v>74.019716395458047</v>
      </c>
      <c r="P54" s="29">
        <v>75.189812427302869</v>
      </c>
      <c r="Q54" s="29">
        <v>75.735424158462536</v>
      </c>
      <c r="R54" s="29">
        <v>76.329012250072935</v>
      </c>
      <c r="S54" s="28">
        <v>76.338561969060507</v>
      </c>
      <c r="T54" s="84">
        <v>78.735887443406497</v>
      </c>
      <c r="V54" s="6"/>
      <c r="W54" s="6"/>
      <c r="X54" s="91"/>
    </row>
    <row r="55" spans="1:24" s="5" customFormat="1" ht="8.4499999999999993" customHeight="1" x14ac:dyDescent="0.15">
      <c r="A55" s="197"/>
      <c r="B55" s="109" t="s">
        <v>9</v>
      </c>
      <c r="C55" s="89">
        <v>205047</v>
      </c>
      <c r="D55" s="88">
        <v>208198</v>
      </c>
      <c r="E55" s="88">
        <v>212688</v>
      </c>
      <c r="F55" s="88">
        <v>214202</v>
      </c>
      <c r="G55" s="86">
        <v>216105</v>
      </c>
      <c r="H55" s="87">
        <v>217733</v>
      </c>
      <c r="I55" s="89">
        <v>81778</v>
      </c>
      <c r="J55" s="88">
        <v>83404</v>
      </c>
      <c r="K55" s="88">
        <v>89293</v>
      </c>
      <c r="L55" s="88">
        <v>94329</v>
      </c>
      <c r="M55" s="86">
        <v>98329</v>
      </c>
      <c r="N55" s="87">
        <v>100280</v>
      </c>
      <c r="O55" s="94">
        <v>39.882563509829453</v>
      </c>
      <c r="P55" s="29">
        <v>40.059942938933126</v>
      </c>
      <c r="Q55" s="29">
        <v>41.983092605130516</v>
      </c>
      <c r="R55" s="29">
        <v>44.037403945808165</v>
      </c>
      <c r="S55" s="28">
        <v>45.500566854075565</v>
      </c>
      <c r="T55" s="84">
        <v>46.056408537061451</v>
      </c>
      <c r="V55" s="6"/>
      <c r="W55" s="6"/>
      <c r="X55" s="91"/>
    </row>
    <row r="56" spans="1:24" s="5" customFormat="1" ht="8.4499999999999993" customHeight="1" x14ac:dyDescent="0.15">
      <c r="A56" s="197"/>
      <c r="B56" s="109" t="s">
        <v>8</v>
      </c>
      <c r="C56" s="89">
        <v>166825</v>
      </c>
      <c r="D56" s="88">
        <v>169981</v>
      </c>
      <c r="E56" s="88">
        <v>174366</v>
      </c>
      <c r="F56" s="88">
        <v>176975</v>
      </c>
      <c r="G56" s="86">
        <v>178458</v>
      </c>
      <c r="H56" s="87">
        <v>179553</v>
      </c>
      <c r="I56" s="89">
        <v>115521</v>
      </c>
      <c r="J56" s="88">
        <v>120187</v>
      </c>
      <c r="K56" s="88">
        <v>122968</v>
      </c>
      <c r="L56" s="88">
        <v>124928</v>
      </c>
      <c r="M56" s="86">
        <v>126999</v>
      </c>
      <c r="N56" s="87">
        <v>129346</v>
      </c>
      <c r="O56" s="94">
        <v>69.246815525251009</v>
      </c>
      <c r="P56" s="29">
        <v>70.706137744806767</v>
      </c>
      <c r="Q56" s="29">
        <v>70.522923046924291</v>
      </c>
      <c r="R56" s="29">
        <v>70.590761406978388</v>
      </c>
      <c r="S56" s="28">
        <v>71.164643781730149</v>
      </c>
      <c r="T56" s="84">
        <v>72.03778271596687</v>
      </c>
      <c r="V56" s="6"/>
      <c r="W56" s="6"/>
      <c r="X56" s="91"/>
    </row>
    <row r="57" spans="1:24" s="5" customFormat="1" ht="8.4499999999999993" customHeight="1" x14ac:dyDescent="0.15">
      <c r="A57" s="198"/>
      <c r="B57" s="110" t="s">
        <v>4</v>
      </c>
      <c r="C57" s="89">
        <v>1178843</v>
      </c>
      <c r="D57" s="88">
        <v>1196936</v>
      </c>
      <c r="E57" s="88">
        <v>1226159</v>
      </c>
      <c r="F57" s="88">
        <v>1248060</v>
      </c>
      <c r="G57" s="86">
        <v>1261249</v>
      </c>
      <c r="H57" s="87">
        <v>1267490</v>
      </c>
      <c r="I57" s="89">
        <v>776786</v>
      </c>
      <c r="J57" s="88">
        <v>800208</v>
      </c>
      <c r="K57" s="88">
        <v>828780</v>
      </c>
      <c r="L57" s="88">
        <v>856443</v>
      </c>
      <c r="M57" s="86">
        <v>870257</v>
      </c>
      <c r="N57" s="87">
        <v>889346</v>
      </c>
      <c r="O57" s="94">
        <v>65.893931592247654</v>
      </c>
      <c r="P57" s="29">
        <v>66.854702339974736</v>
      </c>
      <c r="Q57" s="29">
        <v>67.591560311509355</v>
      </c>
      <c r="R57" s="29">
        <v>68.621941252824385</v>
      </c>
      <c r="S57" s="28">
        <v>68.999618632006843</v>
      </c>
      <c r="T57" s="84">
        <v>70.165918468784767</v>
      </c>
      <c r="V57" s="6"/>
      <c r="W57" s="6"/>
      <c r="X57" s="91"/>
    </row>
    <row r="58" spans="1:24" s="5" customFormat="1" ht="8.4499999999999993" customHeight="1" x14ac:dyDescent="0.15">
      <c r="A58" s="196" t="s">
        <v>41</v>
      </c>
      <c r="B58" s="111" t="s">
        <v>7</v>
      </c>
      <c r="C58" s="89">
        <v>948272</v>
      </c>
      <c r="D58" s="88">
        <v>964416</v>
      </c>
      <c r="E58" s="88">
        <v>986002</v>
      </c>
      <c r="F58" s="88">
        <v>999231</v>
      </c>
      <c r="G58" s="86">
        <v>1006074</v>
      </c>
      <c r="H58" s="87">
        <v>1010612</v>
      </c>
      <c r="I58" s="89">
        <v>736005</v>
      </c>
      <c r="J58" s="88">
        <v>784913</v>
      </c>
      <c r="K58" s="88">
        <v>805888</v>
      </c>
      <c r="L58" s="88">
        <v>818030</v>
      </c>
      <c r="M58" s="86">
        <v>828924</v>
      </c>
      <c r="N58" s="87">
        <v>843770</v>
      </c>
      <c r="O58" s="94">
        <v>77.615388833583609</v>
      </c>
      <c r="P58" s="29">
        <v>81.387388844647958</v>
      </c>
      <c r="Q58" s="29">
        <v>81.732897093515021</v>
      </c>
      <c r="R58" s="29">
        <v>81.865954919332964</v>
      </c>
      <c r="S58" s="28">
        <v>82.391951287877433</v>
      </c>
      <c r="T58" s="84">
        <v>83.490993576169686</v>
      </c>
      <c r="V58" s="6"/>
      <c r="W58" s="6"/>
      <c r="X58" s="91"/>
    </row>
    <row r="59" spans="1:24" s="5" customFormat="1" ht="8.4499999999999993" customHeight="1" x14ac:dyDescent="0.15">
      <c r="A59" s="197"/>
      <c r="B59" s="109" t="s">
        <v>6</v>
      </c>
      <c r="C59" s="89">
        <v>141871</v>
      </c>
      <c r="D59" s="88">
        <v>145297</v>
      </c>
      <c r="E59" s="88">
        <v>149595</v>
      </c>
      <c r="F59" s="88">
        <v>153732</v>
      </c>
      <c r="G59" s="86">
        <v>155897</v>
      </c>
      <c r="H59" s="87">
        <v>158640</v>
      </c>
      <c r="I59" s="89">
        <v>123937</v>
      </c>
      <c r="J59" s="88">
        <v>125510</v>
      </c>
      <c r="K59" s="88">
        <v>129413</v>
      </c>
      <c r="L59" s="88">
        <v>132263</v>
      </c>
      <c r="M59" s="86">
        <v>133468</v>
      </c>
      <c r="N59" s="87">
        <v>134284</v>
      </c>
      <c r="O59" s="94">
        <v>87.358938754220389</v>
      </c>
      <c r="P59" s="29">
        <v>86.381687164910488</v>
      </c>
      <c r="Q59" s="29">
        <v>86.508907383268152</v>
      </c>
      <c r="R59" s="29">
        <v>86.034787812556914</v>
      </c>
      <c r="S59" s="28">
        <v>85.612936746698139</v>
      </c>
      <c r="T59" s="84">
        <v>84.646999495713573</v>
      </c>
      <c r="V59" s="6"/>
      <c r="W59" s="6"/>
      <c r="X59" s="91"/>
    </row>
    <row r="60" spans="1:24" s="5" customFormat="1" ht="8.4499999999999993" customHeight="1" x14ac:dyDescent="0.15">
      <c r="A60" s="197"/>
      <c r="B60" s="109" t="s">
        <v>5</v>
      </c>
      <c r="C60" s="89">
        <v>269941</v>
      </c>
      <c r="D60" s="88">
        <v>275284</v>
      </c>
      <c r="E60" s="88">
        <v>282509</v>
      </c>
      <c r="F60" s="88">
        <v>286409</v>
      </c>
      <c r="G60" s="86">
        <v>332185</v>
      </c>
      <c r="H60" s="87">
        <v>333716</v>
      </c>
      <c r="I60" s="89">
        <v>163615</v>
      </c>
      <c r="J60" s="88">
        <v>174137</v>
      </c>
      <c r="K60" s="88">
        <v>184356</v>
      </c>
      <c r="L60" s="88">
        <v>189984</v>
      </c>
      <c r="M60" s="86">
        <v>199020</v>
      </c>
      <c r="N60" s="87">
        <v>203933</v>
      </c>
      <c r="O60" s="94">
        <v>60.611392859921246</v>
      </c>
      <c r="P60" s="29">
        <v>63.257218000319668</v>
      </c>
      <c r="Q60" s="29">
        <v>65.256682088004283</v>
      </c>
      <c r="R60" s="29">
        <v>66.333111040505017</v>
      </c>
      <c r="S60" s="28">
        <v>59.912398211839793</v>
      </c>
      <c r="T60" s="84">
        <v>61.1097460115787</v>
      </c>
      <c r="V60" s="6"/>
      <c r="W60" s="6"/>
      <c r="X60" s="91"/>
    </row>
    <row r="61" spans="1:24" s="5" customFormat="1" ht="8.4499999999999993" customHeight="1" x14ac:dyDescent="0.15">
      <c r="A61" s="197"/>
      <c r="B61" s="109" t="s">
        <v>4</v>
      </c>
      <c r="C61" s="89">
        <v>1360084</v>
      </c>
      <c r="D61" s="88">
        <v>1384997</v>
      </c>
      <c r="E61" s="88">
        <v>1418106</v>
      </c>
      <c r="F61" s="88">
        <v>1439372</v>
      </c>
      <c r="G61" s="86">
        <v>1494156</v>
      </c>
      <c r="H61" s="87">
        <v>1502968</v>
      </c>
      <c r="I61" s="89">
        <v>1023557</v>
      </c>
      <c r="J61" s="88">
        <v>1084560</v>
      </c>
      <c r="K61" s="88">
        <v>1119657</v>
      </c>
      <c r="L61" s="88">
        <v>1140277</v>
      </c>
      <c r="M61" s="86">
        <v>1161412</v>
      </c>
      <c r="N61" s="87">
        <v>1181987</v>
      </c>
      <c r="O61" s="94">
        <v>75.256895897606327</v>
      </c>
      <c r="P61" s="29">
        <v>78.307750847113738</v>
      </c>
      <c r="Q61" s="29">
        <v>78.954394100299979</v>
      </c>
      <c r="R61" s="29">
        <v>79.220451696990082</v>
      </c>
      <c r="S61" s="28">
        <v>77.730303930780991</v>
      </c>
      <c r="T61" s="84">
        <v>78.643524013817995</v>
      </c>
      <c r="V61" s="6"/>
      <c r="W61" s="6"/>
      <c r="X61" s="91"/>
    </row>
    <row r="62" spans="1:24" s="5" customFormat="1" ht="8.4499999999999993" customHeight="1" x14ac:dyDescent="0.15">
      <c r="A62" s="115" t="s">
        <v>40</v>
      </c>
      <c r="B62" s="116" t="s">
        <v>39</v>
      </c>
      <c r="C62" s="89">
        <v>198354</v>
      </c>
      <c r="D62" s="88">
        <v>202500</v>
      </c>
      <c r="E62" s="88">
        <v>208973</v>
      </c>
      <c r="F62" s="88">
        <v>212878</v>
      </c>
      <c r="G62" s="86">
        <v>215557</v>
      </c>
      <c r="H62" s="87">
        <v>246846</v>
      </c>
      <c r="I62" s="89">
        <v>27762</v>
      </c>
      <c r="J62" s="88">
        <v>29005</v>
      </c>
      <c r="K62" s="88">
        <v>31551</v>
      </c>
      <c r="L62" s="88">
        <v>35829</v>
      </c>
      <c r="M62" s="86">
        <v>45112</v>
      </c>
      <c r="N62" s="87">
        <v>48814</v>
      </c>
      <c r="O62" s="94">
        <v>13.996188632445023</v>
      </c>
      <c r="P62" s="29">
        <v>14.323456790123457</v>
      </c>
      <c r="Q62" s="29">
        <v>15.098122723988267</v>
      </c>
      <c r="R62" s="29">
        <v>16.830766918140906</v>
      </c>
      <c r="S62" s="28">
        <v>20.928107182786921</v>
      </c>
      <c r="T62" s="84">
        <v>19.775082440063844</v>
      </c>
      <c r="V62" s="6"/>
      <c r="W62" s="6"/>
      <c r="X62" s="91"/>
    </row>
    <row r="63" spans="1:24" s="5" customFormat="1" ht="8.4499999999999993" customHeight="1" x14ac:dyDescent="0.15">
      <c r="A63" s="199" t="s">
        <v>38</v>
      </c>
      <c r="B63" s="200"/>
      <c r="C63" s="56">
        <v>10935693</v>
      </c>
      <c r="D63" s="55">
        <v>11132570</v>
      </c>
      <c r="E63" s="55">
        <v>11415731</v>
      </c>
      <c r="F63" s="55">
        <v>11476509</v>
      </c>
      <c r="G63" s="53">
        <v>11741437</v>
      </c>
      <c r="H63" s="54">
        <v>11858700</v>
      </c>
      <c r="I63" s="56">
        <v>8334234</v>
      </c>
      <c r="J63" s="55">
        <v>8638772</v>
      </c>
      <c r="K63" s="55">
        <v>8933037</v>
      </c>
      <c r="L63" s="55">
        <v>9162568</v>
      </c>
      <c r="M63" s="53">
        <v>9351303</v>
      </c>
      <c r="N63" s="54">
        <v>9502094</v>
      </c>
      <c r="O63" s="92">
        <v>76.21130183519233</v>
      </c>
      <c r="P63" s="19">
        <v>77.599080895067345</v>
      </c>
      <c r="Q63" s="19">
        <v>78.251992798358685</v>
      </c>
      <c r="R63" s="19">
        <v>79.837588242208497</v>
      </c>
      <c r="S63" s="18">
        <v>79.643598990481323</v>
      </c>
      <c r="T63" s="51">
        <v>80.127619384924159</v>
      </c>
      <c r="V63" s="6"/>
      <c r="W63" s="6"/>
      <c r="X63" s="91"/>
    </row>
    <row r="64" spans="1:24" s="5" customFormat="1" ht="8.4499999999999993" customHeight="1" x14ac:dyDescent="0.15">
      <c r="A64" s="176" t="s">
        <v>3</v>
      </c>
      <c r="B64" s="177"/>
      <c r="C64" s="56">
        <v>21696420</v>
      </c>
      <c r="D64" s="55">
        <v>22147455</v>
      </c>
      <c r="E64" s="55">
        <v>22748808</v>
      </c>
      <c r="F64" s="55">
        <v>23023154</v>
      </c>
      <c r="G64" s="53">
        <v>23404200</v>
      </c>
      <c r="H64" s="54">
        <v>23627527</v>
      </c>
      <c r="I64" s="56">
        <v>18305552</v>
      </c>
      <c r="J64" s="55">
        <v>18814512</v>
      </c>
      <c r="K64" s="55">
        <v>19257295</v>
      </c>
      <c r="L64" s="55">
        <v>19640701</v>
      </c>
      <c r="M64" s="53">
        <v>19992466</v>
      </c>
      <c r="N64" s="54">
        <v>20241767</v>
      </c>
      <c r="O64" s="92">
        <v>84.371301809238574</v>
      </c>
      <c r="P64" s="19">
        <v>84.951124181085362</v>
      </c>
      <c r="Q64" s="19">
        <v>84.651885936177408</v>
      </c>
      <c r="R64" s="19">
        <v>85.30847250554811</v>
      </c>
      <c r="S64" s="18">
        <v>85.422556635133859</v>
      </c>
      <c r="T64" s="51">
        <v>85.670273490746624</v>
      </c>
      <c r="V64" s="6"/>
      <c r="W64" s="6"/>
      <c r="X64" s="91"/>
    </row>
    <row r="65" spans="1:24" ht="8.4499999999999993" customHeight="1" x14ac:dyDescent="0.15">
      <c r="A65" s="117"/>
      <c r="B65" s="118"/>
      <c r="C65" s="50">
        <v>0</v>
      </c>
      <c r="D65" s="50"/>
      <c r="E65" s="50">
        <v>0</v>
      </c>
      <c r="F65" s="50"/>
      <c r="G65" s="50"/>
      <c r="H65" s="50"/>
      <c r="I65" s="50">
        <v>0</v>
      </c>
      <c r="J65" s="50"/>
      <c r="K65" s="50">
        <v>0</v>
      </c>
      <c r="L65" s="50">
        <v>0</v>
      </c>
      <c r="M65" s="50">
        <v>0</v>
      </c>
      <c r="N65" s="50"/>
      <c r="O65" s="48">
        <v>0</v>
      </c>
      <c r="P65" s="48"/>
      <c r="Q65" s="48">
        <v>0</v>
      </c>
      <c r="R65" s="48">
        <v>0</v>
      </c>
      <c r="S65" s="49">
        <v>0</v>
      </c>
      <c r="T65" s="49"/>
      <c r="V65" s="6"/>
      <c r="W65" s="6"/>
      <c r="X65" s="91"/>
    </row>
    <row r="66" spans="1:24" ht="8.4499999999999993" customHeight="1" x14ac:dyDescent="0.15">
      <c r="A66" s="194" t="s">
        <v>37</v>
      </c>
      <c r="B66" s="195"/>
      <c r="C66" s="47">
        <v>1596664</v>
      </c>
      <c r="D66" s="46">
        <v>1638517</v>
      </c>
      <c r="E66" s="46">
        <v>1692126</v>
      </c>
      <c r="F66" s="46">
        <v>1722903</v>
      </c>
      <c r="G66" s="44">
        <v>1731328</v>
      </c>
      <c r="H66" s="45">
        <v>1748594</v>
      </c>
      <c r="I66" s="47">
        <v>1432801</v>
      </c>
      <c r="J66" s="46">
        <v>1449709</v>
      </c>
      <c r="K66" s="46">
        <v>1468566</v>
      </c>
      <c r="L66" s="46">
        <v>1487111</v>
      </c>
      <c r="M66" s="44">
        <v>1494019</v>
      </c>
      <c r="N66" s="45">
        <v>1513216</v>
      </c>
      <c r="O66" s="43">
        <v>89.737164487957386</v>
      </c>
      <c r="P66" s="16">
        <v>88.476897096581851</v>
      </c>
      <c r="Q66" s="16">
        <v>86.788217898667114</v>
      </c>
      <c r="R66" s="16">
        <v>86.314261452908255</v>
      </c>
      <c r="S66" s="15">
        <v>86.293238485139739</v>
      </c>
      <c r="T66" s="42">
        <v>86.539013630379614</v>
      </c>
      <c r="V66" s="6"/>
      <c r="W66" s="6"/>
      <c r="X66" s="91"/>
    </row>
    <row r="67" spans="1:24" ht="8.4499999999999993" customHeight="1" x14ac:dyDescent="0.15">
      <c r="A67" s="190" t="s">
        <v>36</v>
      </c>
      <c r="B67" s="191"/>
      <c r="C67" s="41">
        <v>1372182</v>
      </c>
      <c r="D67" s="40">
        <v>1391922</v>
      </c>
      <c r="E67" s="40">
        <v>1420254</v>
      </c>
      <c r="F67" s="40">
        <v>1434087</v>
      </c>
      <c r="G67" s="38">
        <v>1441363</v>
      </c>
      <c r="H67" s="39">
        <v>1447487</v>
      </c>
      <c r="I67" s="41">
        <v>1282912</v>
      </c>
      <c r="J67" s="40">
        <v>1315278</v>
      </c>
      <c r="K67" s="40">
        <v>1317449</v>
      </c>
      <c r="L67" s="40">
        <v>1334639</v>
      </c>
      <c r="M67" s="38">
        <v>1355232</v>
      </c>
      <c r="N67" s="39">
        <v>1372778</v>
      </c>
      <c r="O67" s="37">
        <v>93.49430323382758</v>
      </c>
      <c r="P67" s="14">
        <v>94.493656972157922</v>
      </c>
      <c r="Q67" s="14">
        <v>92.761506040468817</v>
      </c>
      <c r="R67" s="14">
        <v>93.065413744075499</v>
      </c>
      <c r="S67" s="13">
        <v>94.024336686872076</v>
      </c>
      <c r="T67" s="36">
        <v>94.838710123130639</v>
      </c>
      <c r="V67" s="6"/>
      <c r="W67" s="6"/>
      <c r="X67" s="91"/>
    </row>
    <row r="68" spans="1:24" ht="8.4499999999999993" customHeight="1" x14ac:dyDescent="0.15">
      <c r="A68" s="190" t="s">
        <v>35</v>
      </c>
      <c r="B68" s="191"/>
      <c r="C68" s="41">
        <v>2371373</v>
      </c>
      <c r="D68" s="40">
        <v>2426750</v>
      </c>
      <c r="E68" s="40">
        <v>2508731</v>
      </c>
      <c r="F68" s="40">
        <v>2537192</v>
      </c>
      <c r="G68" s="38">
        <v>2561157</v>
      </c>
      <c r="H68" s="39">
        <v>2577079</v>
      </c>
      <c r="I68" s="41">
        <v>2247468</v>
      </c>
      <c r="J68" s="40">
        <v>2300091</v>
      </c>
      <c r="K68" s="40">
        <v>2367589</v>
      </c>
      <c r="L68" s="40">
        <v>2414029</v>
      </c>
      <c r="M68" s="38">
        <v>2458560</v>
      </c>
      <c r="N68" s="39">
        <v>2489053</v>
      </c>
      <c r="O68" s="37">
        <v>94.77496791942896</v>
      </c>
      <c r="P68" s="14">
        <v>94.780714947975682</v>
      </c>
      <c r="Q68" s="14">
        <v>94.373968352924237</v>
      </c>
      <c r="R68" s="14">
        <v>95.145696502274959</v>
      </c>
      <c r="S68" s="13">
        <v>95.994115159671978</v>
      </c>
      <c r="T68" s="36">
        <v>96.584272348655205</v>
      </c>
      <c r="V68" s="6"/>
      <c r="W68" s="6"/>
      <c r="X68" s="91"/>
    </row>
    <row r="69" spans="1:24" ht="8.4499999999999993" customHeight="1" x14ac:dyDescent="0.15">
      <c r="A69" s="190" t="s">
        <v>34</v>
      </c>
      <c r="B69" s="191"/>
      <c r="C69" s="41">
        <v>968560</v>
      </c>
      <c r="D69" s="40">
        <v>984558</v>
      </c>
      <c r="E69" s="40">
        <v>1008003</v>
      </c>
      <c r="F69" s="40">
        <v>1016831</v>
      </c>
      <c r="G69" s="38">
        <v>1023989</v>
      </c>
      <c r="H69" s="39">
        <v>1023989</v>
      </c>
      <c r="I69" s="41">
        <v>871119</v>
      </c>
      <c r="J69" s="40">
        <v>887690</v>
      </c>
      <c r="K69" s="40">
        <v>902061</v>
      </c>
      <c r="L69" s="40">
        <v>912482</v>
      </c>
      <c r="M69" s="38">
        <v>939812</v>
      </c>
      <c r="N69" s="39">
        <v>936153</v>
      </c>
      <c r="O69" s="37">
        <v>89.939601057239614</v>
      </c>
      <c r="P69" s="14">
        <v>90.161270336536802</v>
      </c>
      <c r="Q69" s="14">
        <v>89.489912232404066</v>
      </c>
      <c r="R69" s="14">
        <v>89.737822706034734</v>
      </c>
      <c r="S69" s="13">
        <v>91.779501537614166</v>
      </c>
      <c r="T69" s="36">
        <v>91.422173480379186</v>
      </c>
      <c r="V69" s="6"/>
      <c r="W69" s="6"/>
      <c r="X69" s="91"/>
    </row>
    <row r="70" spans="1:24" ht="8.4499999999999993" customHeight="1" x14ac:dyDescent="0.15">
      <c r="A70" s="190" t="s">
        <v>33</v>
      </c>
      <c r="B70" s="191"/>
      <c r="C70" s="41">
        <v>3300886</v>
      </c>
      <c r="D70" s="40">
        <v>3400960</v>
      </c>
      <c r="E70" s="40">
        <v>3507274</v>
      </c>
      <c r="F70" s="40">
        <v>3612932</v>
      </c>
      <c r="G70" s="38">
        <v>3653992</v>
      </c>
      <c r="H70" s="39">
        <v>3696953</v>
      </c>
      <c r="I70" s="41">
        <v>3045065</v>
      </c>
      <c r="J70" s="40">
        <v>3111255</v>
      </c>
      <c r="K70" s="40">
        <v>3142285</v>
      </c>
      <c r="L70" s="40">
        <v>3186384</v>
      </c>
      <c r="M70" s="38">
        <v>3223601</v>
      </c>
      <c r="N70" s="39">
        <v>3234568</v>
      </c>
      <c r="O70" s="37">
        <v>92.249929261416483</v>
      </c>
      <c r="P70" s="14">
        <v>91.481669881445242</v>
      </c>
      <c r="Q70" s="14">
        <v>89.593370805930761</v>
      </c>
      <c r="R70" s="14">
        <v>88.19385474179974</v>
      </c>
      <c r="S70" s="13">
        <v>88.221348048928405</v>
      </c>
      <c r="T70" s="36">
        <v>87.492808266699626</v>
      </c>
      <c r="V70" s="6"/>
      <c r="W70" s="6"/>
      <c r="X70" s="91"/>
    </row>
    <row r="71" spans="1:24" ht="8.4499999999999993" customHeight="1" x14ac:dyDescent="0.15">
      <c r="A71" s="190" t="s">
        <v>32</v>
      </c>
      <c r="B71" s="191"/>
      <c r="C71" s="41">
        <v>799270</v>
      </c>
      <c r="D71" s="40">
        <v>813262</v>
      </c>
      <c r="E71" s="40">
        <v>826876</v>
      </c>
      <c r="F71" s="40">
        <v>848250</v>
      </c>
      <c r="G71" s="38">
        <v>871485</v>
      </c>
      <c r="H71" s="39">
        <v>893972</v>
      </c>
      <c r="I71" s="41">
        <v>730240</v>
      </c>
      <c r="J71" s="40">
        <v>740220</v>
      </c>
      <c r="K71" s="40">
        <v>745122</v>
      </c>
      <c r="L71" s="40">
        <v>756478</v>
      </c>
      <c r="M71" s="38">
        <v>775884</v>
      </c>
      <c r="N71" s="39">
        <v>795636</v>
      </c>
      <c r="O71" s="37">
        <v>91.363369074280271</v>
      </c>
      <c r="P71" s="14">
        <v>91.018638519935763</v>
      </c>
      <c r="Q71" s="14">
        <v>90.11290689293196</v>
      </c>
      <c r="R71" s="14">
        <v>89.181019746536975</v>
      </c>
      <c r="S71" s="13">
        <v>89.030103788361245</v>
      </c>
      <c r="T71" s="36">
        <v>89.000102911500591</v>
      </c>
      <c r="V71" s="6"/>
      <c r="W71" s="6"/>
      <c r="X71" s="91"/>
    </row>
    <row r="72" spans="1:24" ht="8.4499999999999993" customHeight="1" x14ac:dyDescent="0.15">
      <c r="A72" s="190" t="s">
        <v>31</v>
      </c>
      <c r="B72" s="191"/>
      <c r="C72" s="41">
        <v>1152848</v>
      </c>
      <c r="D72" s="40">
        <v>1165934</v>
      </c>
      <c r="E72" s="40">
        <v>1195703</v>
      </c>
      <c r="F72" s="40">
        <v>1208283</v>
      </c>
      <c r="G72" s="38">
        <v>1217986</v>
      </c>
      <c r="H72" s="39">
        <v>1229826</v>
      </c>
      <c r="I72" s="41">
        <v>1104662</v>
      </c>
      <c r="J72" s="40">
        <v>1125139</v>
      </c>
      <c r="K72" s="40">
        <v>1155788</v>
      </c>
      <c r="L72" s="40">
        <v>1168927</v>
      </c>
      <c r="M72" s="38">
        <v>1178960</v>
      </c>
      <c r="N72" s="39">
        <v>1190819</v>
      </c>
      <c r="O72" s="37">
        <v>95.820264249927135</v>
      </c>
      <c r="P72" s="14">
        <v>96.501088397799535</v>
      </c>
      <c r="Q72" s="14">
        <v>96.661796449452751</v>
      </c>
      <c r="R72" s="14">
        <v>96.742816045578735</v>
      </c>
      <c r="S72" s="13">
        <v>96.795858080470538</v>
      </c>
      <c r="T72" s="36">
        <v>96.82825050047731</v>
      </c>
      <c r="V72" s="6"/>
      <c r="W72" s="6"/>
      <c r="X72" s="91"/>
    </row>
    <row r="73" spans="1:24" ht="8.4499999999999993" customHeight="1" x14ac:dyDescent="0.15">
      <c r="A73" s="190" t="s">
        <v>30</v>
      </c>
      <c r="B73" s="191"/>
      <c r="C73" s="41">
        <v>832144</v>
      </c>
      <c r="D73" s="40">
        <v>848540</v>
      </c>
      <c r="E73" s="40">
        <v>871067</v>
      </c>
      <c r="F73" s="40">
        <v>885369</v>
      </c>
      <c r="G73" s="38">
        <v>892879</v>
      </c>
      <c r="H73" s="39">
        <v>896059</v>
      </c>
      <c r="I73" s="41">
        <v>671945</v>
      </c>
      <c r="J73" s="40">
        <v>692792</v>
      </c>
      <c r="K73" s="40">
        <v>710971</v>
      </c>
      <c r="L73" s="40">
        <v>730378</v>
      </c>
      <c r="M73" s="38">
        <v>746999</v>
      </c>
      <c r="N73" s="39">
        <v>755574</v>
      </c>
      <c r="O73" s="37">
        <v>80.748644465380991</v>
      </c>
      <c r="P73" s="14">
        <v>81.645178777665166</v>
      </c>
      <c r="Q73" s="14">
        <v>81.620701966668463</v>
      </c>
      <c r="R73" s="14">
        <v>82.49419168730779</v>
      </c>
      <c r="S73" s="13">
        <v>83.661839958157827</v>
      </c>
      <c r="T73" s="36">
        <v>84.321902910411026</v>
      </c>
      <c r="V73" s="6"/>
      <c r="W73" s="6"/>
      <c r="X73" s="91"/>
    </row>
    <row r="74" spans="1:24" ht="8.4499999999999993" customHeight="1" x14ac:dyDescent="0.15">
      <c r="A74" s="190" t="s">
        <v>2</v>
      </c>
      <c r="B74" s="191"/>
      <c r="C74" s="41">
        <v>640825</v>
      </c>
      <c r="D74" s="40">
        <v>651310</v>
      </c>
      <c r="E74" s="40">
        <v>669269</v>
      </c>
      <c r="F74" s="40">
        <v>681310</v>
      </c>
      <c r="G74" s="38">
        <v>691480</v>
      </c>
      <c r="H74" s="39">
        <v>699665</v>
      </c>
      <c r="I74" s="41">
        <v>607652</v>
      </c>
      <c r="J74" s="40">
        <v>619399</v>
      </c>
      <c r="K74" s="40">
        <v>637954</v>
      </c>
      <c r="L74" s="40">
        <v>650341</v>
      </c>
      <c r="M74" s="38">
        <v>660203</v>
      </c>
      <c r="N74" s="39">
        <v>662443</v>
      </c>
      <c r="O74" s="37">
        <v>94.823391721608857</v>
      </c>
      <c r="P74" s="14">
        <v>95.10048978213139</v>
      </c>
      <c r="Q74" s="14">
        <v>95.321014420210702</v>
      </c>
      <c r="R74" s="14">
        <v>95.454492081431368</v>
      </c>
      <c r="S74" s="13">
        <v>95.476803378261124</v>
      </c>
      <c r="T74" s="36">
        <v>94.680025440746647</v>
      </c>
      <c r="V74" s="6"/>
      <c r="W74" s="6"/>
      <c r="X74" s="91"/>
    </row>
    <row r="75" spans="1:24" ht="8.4499999999999993" customHeight="1" x14ac:dyDescent="0.15">
      <c r="A75" s="190" t="s">
        <v>1</v>
      </c>
      <c r="B75" s="191"/>
      <c r="C75" s="41">
        <v>603627</v>
      </c>
      <c r="D75" s="40">
        <v>613956</v>
      </c>
      <c r="E75" s="40">
        <v>626488</v>
      </c>
      <c r="F75" s="40">
        <v>636382</v>
      </c>
      <c r="G75" s="38">
        <v>642040</v>
      </c>
      <c r="H75" s="39">
        <v>649330</v>
      </c>
      <c r="I75" s="41">
        <v>557460</v>
      </c>
      <c r="J75" s="40">
        <v>570626</v>
      </c>
      <c r="K75" s="40">
        <v>586878</v>
      </c>
      <c r="L75" s="40">
        <v>596515</v>
      </c>
      <c r="M75" s="38">
        <v>604474</v>
      </c>
      <c r="N75" s="39">
        <v>611249</v>
      </c>
      <c r="O75" s="37">
        <v>92.351733769364202</v>
      </c>
      <c r="P75" s="14">
        <v>92.942490992839879</v>
      </c>
      <c r="Q75" s="14">
        <v>93.677452720562883</v>
      </c>
      <c r="R75" s="14">
        <v>93.735366493709748</v>
      </c>
      <c r="S75" s="13">
        <v>94.148962681452858</v>
      </c>
      <c r="T75" s="36">
        <v>94.135339503796217</v>
      </c>
      <c r="V75" s="6"/>
      <c r="W75" s="6"/>
      <c r="X75" s="91"/>
    </row>
    <row r="76" spans="1:24" ht="8.4499999999999993" customHeight="1" x14ac:dyDescent="0.15">
      <c r="A76" s="190" t="s">
        <v>71</v>
      </c>
      <c r="B76" s="191"/>
      <c r="C76" s="41">
        <v>617260</v>
      </c>
      <c r="D76" s="40">
        <v>629724</v>
      </c>
      <c r="E76" s="40">
        <v>650957</v>
      </c>
      <c r="F76" s="40">
        <v>664403</v>
      </c>
      <c r="G76" s="38">
        <v>674267</v>
      </c>
      <c r="H76" s="39">
        <v>680973</v>
      </c>
      <c r="I76" s="41">
        <v>404677</v>
      </c>
      <c r="J76" s="40">
        <v>415243</v>
      </c>
      <c r="K76" s="40">
        <v>434399</v>
      </c>
      <c r="L76" s="40">
        <v>448678</v>
      </c>
      <c r="M76" s="38">
        <v>459463</v>
      </c>
      <c r="N76" s="39">
        <v>468633</v>
      </c>
      <c r="O76" s="37">
        <v>65.56021773644818</v>
      </c>
      <c r="P76" s="14">
        <v>65.940475509905923</v>
      </c>
      <c r="Q76" s="14">
        <v>66.732364810578886</v>
      </c>
      <c r="R76" s="14">
        <v>67.531001515646381</v>
      </c>
      <c r="S76" s="13">
        <v>68.142590398165709</v>
      </c>
      <c r="T76" s="36">
        <v>68.818146974990199</v>
      </c>
      <c r="V76" s="6"/>
      <c r="W76" s="6"/>
      <c r="X76" s="91"/>
    </row>
    <row r="77" spans="1:24" ht="8.4499999999999993" customHeight="1" x14ac:dyDescent="0.15">
      <c r="A77" s="192" t="s">
        <v>76</v>
      </c>
      <c r="B77" s="193"/>
      <c r="C77" s="35">
        <v>782625</v>
      </c>
      <c r="D77" s="34">
        <v>806258</v>
      </c>
      <c r="E77" s="34">
        <v>832731</v>
      </c>
      <c r="F77" s="34">
        <v>855392</v>
      </c>
      <c r="G77" s="32">
        <v>873849</v>
      </c>
      <c r="H77" s="33">
        <v>886082</v>
      </c>
      <c r="I77" s="35">
        <v>562196</v>
      </c>
      <c r="J77" s="34">
        <v>588833</v>
      </c>
      <c r="K77" s="34">
        <v>609059</v>
      </c>
      <c r="L77" s="34">
        <v>626584</v>
      </c>
      <c r="M77" s="32">
        <v>645910</v>
      </c>
      <c r="N77" s="33">
        <v>661696</v>
      </c>
      <c r="O77" s="31">
        <v>71.834659000159718</v>
      </c>
      <c r="P77" s="12">
        <v>73.032825720799039</v>
      </c>
      <c r="Q77" s="12">
        <v>73.139945552645443</v>
      </c>
      <c r="R77" s="12">
        <v>73.25109423515768</v>
      </c>
      <c r="S77" s="11">
        <v>73.915516296293745</v>
      </c>
      <c r="T77" s="30">
        <v>74.676610065434119</v>
      </c>
      <c r="V77" s="6"/>
      <c r="W77" s="6"/>
      <c r="X77" s="91"/>
    </row>
    <row r="78" spans="1:24" ht="9.6" customHeight="1" x14ac:dyDescent="0.15">
      <c r="A78" s="97" t="s">
        <v>0</v>
      </c>
      <c r="B78" s="98"/>
      <c r="C78" s="10"/>
      <c r="D78" s="10"/>
      <c r="E78" s="10"/>
      <c r="F78" s="10"/>
      <c r="G78" s="10"/>
      <c r="H78" s="10"/>
      <c r="I78" s="122" t="s">
        <v>77</v>
      </c>
      <c r="J78" s="10"/>
      <c r="K78" s="10"/>
      <c r="L78" s="10"/>
      <c r="M78" s="10"/>
      <c r="N78" s="10"/>
      <c r="O78" s="10"/>
      <c r="P78" s="10"/>
      <c r="Q78" s="2"/>
      <c r="R78" s="1"/>
      <c r="S78" s="1"/>
      <c r="T78" s="1"/>
    </row>
    <row r="79" spans="1:24" x14ac:dyDescent="0.15"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</row>
    <row r="80" spans="1:24" s="4" customFormat="1" ht="11.25" customHeight="1" x14ac:dyDescent="0.15">
      <c r="A80" s="99"/>
      <c r="C80" s="8"/>
      <c r="D80" s="8"/>
      <c r="E80" s="8"/>
      <c r="F80" s="8"/>
      <c r="G80" s="8"/>
      <c r="H80" s="8"/>
      <c r="I80" s="8"/>
      <c r="J80" s="8"/>
      <c r="K80" s="8"/>
      <c r="L80" s="8"/>
      <c r="N80" s="8"/>
    </row>
    <row r="81" spans="1:20" x14ac:dyDescent="0.15">
      <c r="M81" s="1"/>
      <c r="O81" s="1"/>
      <c r="P81" s="1"/>
      <c r="Q81" s="1"/>
      <c r="R81" s="1"/>
      <c r="S81" s="1"/>
      <c r="T81" s="1"/>
    </row>
    <row r="82" spans="1:20" x14ac:dyDescent="0.15">
      <c r="M82" s="1"/>
      <c r="O82" s="1"/>
      <c r="P82" s="1"/>
      <c r="Q82" s="1"/>
      <c r="R82" s="1"/>
      <c r="S82" s="1"/>
      <c r="T82" s="1"/>
    </row>
    <row r="83" spans="1:20" s="4" customFormat="1" ht="11.25" customHeight="1" x14ac:dyDescent="0.15">
      <c r="A83" s="99"/>
      <c r="C83" s="8"/>
      <c r="D83" s="8"/>
      <c r="E83" s="8"/>
      <c r="F83" s="8"/>
      <c r="G83" s="7"/>
      <c r="H83" s="8"/>
      <c r="I83" s="7"/>
      <c r="J83" s="7"/>
      <c r="K83" s="7"/>
      <c r="L83" s="7"/>
      <c r="N83" s="7"/>
    </row>
    <row r="84" spans="1:20" x14ac:dyDescent="0.15">
      <c r="M84" s="1"/>
      <c r="O84" s="1"/>
      <c r="P84" s="1"/>
      <c r="Q84" s="1"/>
      <c r="R84" s="1"/>
      <c r="S84" s="1"/>
      <c r="T84" s="1"/>
    </row>
    <row r="85" spans="1:20" x14ac:dyDescent="0.15">
      <c r="M85" s="1"/>
      <c r="O85" s="1"/>
      <c r="P85" s="1"/>
      <c r="Q85" s="1"/>
      <c r="R85" s="1"/>
      <c r="S85" s="1"/>
      <c r="T85" s="1"/>
    </row>
    <row r="86" spans="1:20" x14ac:dyDescent="0.15">
      <c r="M86" s="1"/>
      <c r="O86" s="1"/>
      <c r="P86" s="1"/>
      <c r="Q86" s="1"/>
      <c r="R86" s="1"/>
      <c r="S86" s="1"/>
      <c r="T86" s="1"/>
    </row>
    <row r="87" spans="1:20" x14ac:dyDescent="0.15">
      <c r="M87" s="1"/>
      <c r="O87" s="1"/>
      <c r="P87" s="1"/>
      <c r="Q87" s="1"/>
      <c r="R87" s="1"/>
      <c r="S87" s="1"/>
      <c r="T87" s="1"/>
    </row>
    <row r="88" spans="1:20" x14ac:dyDescent="0.15">
      <c r="M88" s="1"/>
      <c r="O88" s="1"/>
      <c r="P88" s="1"/>
      <c r="Q88" s="1"/>
      <c r="R88" s="1"/>
      <c r="S88" s="1"/>
      <c r="T88" s="1"/>
    </row>
    <row r="89" spans="1:20" x14ac:dyDescent="0.15">
      <c r="M89" s="1"/>
      <c r="O89" s="1"/>
      <c r="P89" s="1"/>
      <c r="Q89" s="1"/>
      <c r="R89" s="1"/>
      <c r="S89" s="1"/>
      <c r="T89" s="1"/>
    </row>
    <row r="90" spans="1:20" x14ac:dyDescent="0.15">
      <c r="M90" s="1"/>
      <c r="O90" s="1"/>
      <c r="P90" s="1"/>
      <c r="Q90" s="1"/>
      <c r="R90" s="1"/>
      <c r="S90" s="1"/>
      <c r="T90" s="1"/>
    </row>
    <row r="91" spans="1:20" x14ac:dyDescent="0.15">
      <c r="M91" s="1"/>
      <c r="O91" s="1"/>
      <c r="P91" s="1"/>
      <c r="Q91" s="1"/>
      <c r="R91" s="1"/>
      <c r="S91" s="1"/>
      <c r="T91" s="1"/>
    </row>
    <row r="92" spans="1:20" x14ac:dyDescent="0.15">
      <c r="M92" s="1"/>
      <c r="O92" s="1"/>
      <c r="P92" s="1"/>
      <c r="Q92" s="1"/>
      <c r="R92" s="1"/>
      <c r="S92" s="1"/>
      <c r="T92" s="1"/>
    </row>
    <row r="93" spans="1:20" x14ac:dyDescent="0.15">
      <c r="M93" s="1"/>
      <c r="O93" s="1"/>
      <c r="P93" s="1"/>
      <c r="Q93" s="1"/>
      <c r="R93" s="1"/>
      <c r="S93" s="1"/>
      <c r="T93" s="1"/>
    </row>
  </sheetData>
  <mergeCells count="31">
    <mergeCell ref="O3:T3"/>
    <mergeCell ref="A5:A10"/>
    <mergeCell ref="A36:A38"/>
    <mergeCell ref="A3:A4"/>
    <mergeCell ref="B3:B4"/>
    <mergeCell ref="C3:H3"/>
    <mergeCell ref="I3:N3"/>
    <mergeCell ref="A11:A13"/>
    <mergeCell ref="A14:A20"/>
    <mergeCell ref="A21:B21"/>
    <mergeCell ref="A27:A29"/>
    <mergeCell ref="A30:A35"/>
    <mergeCell ref="A70:B70"/>
    <mergeCell ref="A39:A42"/>
    <mergeCell ref="A43:A46"/>
    <mergeCell ref="A47:A51"/>
    <mergeCell ref="A52:A57"/>
    <mergeCell ref="A58:A61"/>
    <mergeCell ref="A63:B63"/>
    <mergeCell ref="A64:B64"/>
    <mergeCell ref="A66:B66"/>
    <mergeCell ref="A67:B67"/>
    <mergeCell ref="A68:B68"/>
    <mergeCell ref="A69:B69"/>
    <mergeCell ref="A77:B77"/>
    <mergeCell ref="A71:B71"/>
    <mergeCell ref="A72:B72"/>
    <mergeCell ref="A73:B73"/>
    <mergeCell ref="A74:B74"/>
    <mergeCell ref="A75:B75"/>
    <mergeCell ref="A76:B76"/>
  </mergeCells>
  <phoneticPr fontId="7" type="noConversion"/>
  <printOptions horizontalCentered="1"/>
  <pageMargins left="1.1811023622047245" right="1.1811023622047245" top="1.3779527559055118" bottom="1.3779527559055118" header="0" footer="0.98425196850393704"/>
  <pageSetup paperSize="9" scale="83" firstPageNumber="144" fitToWidth="2" orientation="portrait" useFirstPageNumber="1" horizontalDpi="300" verticalDpi="300" r:id="rId1"/>
  <headerFooter alignWithMargins="0">
    <oddFooter>&amp;C&amp;"가을체,보통"&amp;7&amp;P</oddFooter>
  </headerFooter>
  <colBreaks count="1" manualBreakCount="1">
    <brk id="8" max="77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6D21F-36F4-40CC-B2BC-9ED6809C9AD3}">
  <sheetPr>
    <pageSetUpPr fitToPage="1"/>
  </sheetPr>
  <dimension ref="A1:E96"/>
  <sheetViews>
    <sheetView showZeros="0" tabSelected="1" zoomScale="130" zoomScaleNormal="130" workbookViewId="0">
      <selection activeCell="H17" sqref="H17"/>
    </sheetView>
  </sheetViews>
  <sheetFormatPr defaultColWidth="8.77734375" defaultRowHeight="9" x14ac:dyDescent="0.15"/>
  <cols>
    <col min="1" max="1" width="8.33203125" style="3" customWidth="1"/>
    <col min="2" max="2" width="8.44140625" style="3" customWidth="1"/>
    <col min="3" max="3" width="14.77734375" style="98" bestFit="1" customWidth="1"/>
    <col min="4" max="4" width="9.33203125" style="98" bestFit="1" customWidth="1"/>
    <col min="5" max="5" width="6.88671875" style="98" bestFit="1" customWidth="1"/>
    <col min="6" max="253" width="8.77734375" style="1"/>
    <col min="254" max="254" width="8.33203125" style="1" customWidth="1"/>
    <col min="255" max="255" width="8.44140625" style="1" customWidth="1"/>
    <col min="256" max="256" width="14.77734375" style="1" bestFit="1" customWidth="1"/>
    <col min="257" max="257" width="9.33203125" style="1" bestFit="1" customWidth="1"/>
    <col min="258" max="258" width="6.88671875" style="1" bestFit="1" customWidth="1"/>
    <col min="259" max="261" width="3.6640625" style="1" customWidth="1"/>
    <col min="262" max="509" width="8.77734375" style="1"/>
    <col min="510" max="510" width="8.33203125" style="1" customWidth="1"/>
    <col min="511" max="511" width="8.44140625" style="1" customWidth="1"/>
    <col min="512" max="512" width="14.77734375" style="1" bestFit="1" customWidth="1"/>
    <col min="513" max="513" width="9.33203125" style="1" bestFit="1" customWidth="1"/>
    <col min="514" max="514" width="6.88671875" style="1" bestFit="1" customWidth="1"/>
    <col min="515" max="517" width="3.6640625" style="1" customWidth="1"/>
    <col min="518" max="765" width="8.77734375" style="1"/>
    <col min="766" max="766" width="8.33203125" style="1" customWidth="1"/>
    <col min="767" max="767" width="8.44140625" style="1" customWidth="1"/>
    <col min="768" max="768" width="14.77734375" style="1" bestFit="1" customWidth="1"/>
    <col min="769" max="769" width="9.33203125" style="1" bestFit="1" customWidth="1"/>
    <col min="770" max="770" width="6.88671875" style="1" bestFit="1" customWidth="1"/>
    <col min="771" max="773" width="3.6640625" style="1" customWidth="1"/>
    <col min="774" max="1021" width="8.77734375" style="1"/>
    <col min="1022" max="1022" width="8.33203125" style="1" customWidth="1"/>
    <col min="1023" max="1023" width="8.44140625" style="1" customWidth="1"/>
    <col min="1024" max="1024" width="14.77734375" style="1" bestFit="1" customWidth="1"/>
    <col min="1025" max="1025" width="9.33203125" style="1" bestFit="1" customWidth="1"/>
    <col min="1026" max="1026" width="6.88671875" style="1" bestFit="1" customWidth="1"/>
    <col min="1027" max="1029" width="3.6640625" style="1" customWidth="1"/>
    <col min="1030" max="1277" width="8.77734375" style="1"/>
    <col min="1278" max="1278" width="8.33203125" style="1" customWidth="1"/>
    <col min="1279" max="1279" width="8.44140625" style="1" customWidth="1"/>
    <col min="1280" max="1280" width="14.77734375" style="1" bestFit="1" customWidth="1"/>
    <col min="1281" max="1281" width="9.33203125" style="1" bestFit="1" customWidth="1"/>
    <col min="1282" max="1282" width="6.88671875" style="1" bestFit="1" customWidth="1"/>
    <col min="1283" max="1285" width="3.6640625" style="1" customWidth="1"/>
    <col min="1286" max="1533" width="8.77734375" style="1"/>
    <col min="1534" max="1534" width="8.33203125" style="1" customWidth="1"/>
    <col min="1535" max="1535" width="8.44140625" style="1" customWidth="1"/>
    <col min="1536" max="1536" width="14.77734375" style="1" bestFit="1" customWidth="1"/>
    <col min="1537" max="1537" width="9.33203125" style="1" bestFit="1" customWidth="1"/>
    <col min="1538" max="1538" width="6.88671875" style="1" bestFit="1" customWidth="1"/>
    <col min="1539" max="1541" width="3.6640625" style="1" customWidth="1"/>
    <col min="1542" max="1789" width="8.77734375" style="1"/>
    <col min="1790" max="1790" width="8.33203125" style="1" customWidth="1"/>
    <col min="1791" max="1791" width="8.44140625" style="1" customWidth="1"/>
    <col min="1792" max="1792" width="14.77734375" style="1" bestFit="1" customWidth="1"/>
    <col min="1793" max="1793" width="9.33203125" style="1" bestFit="1" customWidth="1"/>
    <col min="1794" max="1794" width="6.88671875" style="1" bestFit="1" customWidth="1"/>
    <col min="1795" max="1797" width="3.6640625" style="1" customWidth="1"/>
    <col min="1798" max="2045" width="8.77734375" style="1"/>
    <col min="2046" max="2046" width="8.33203125" style="1" customWidth="1"/>
    <col min="2047" max="2047" width="8.44140625" style="1" customWidth="1"/>
    <col min="2048" max="2048" width="14.77734375" style="1" bestFit="1" customWidth="1"/>
    <col min="2049" max="2049" width="9.33203125" style="1" bestFit="1" customWidth="1"/>
    <col min="2050" max="2050" width="6.88671875" style="1" bestFit="1" customWidth="1"/>
    <col min="2051" max="2053" width="3.6640625" style="1" customWidth="1"/>
    <col min="2054" max="2301" width="8.77734375" style="1"/>
    <col min="2302" max="2302" width="8.33203125" style="1" customWidth="1"/>
    <col min="2303" max="2303" width="8.44140625" style="1" customWidth="1"/>
    <col min="2304" max="2304" width="14.77734375" style="1" bestFit="1" customWidth="1"/>
    <col min="2305" max="2305" width="9.33203125" style="1" bestFit="1" customWidth="1"/>
    <col min="2306" max="2306" width="6.88671875" style="1" bestFit="1" customWidth="1"/>
    <col min="2307" max="2309" width="3.6640625" style="1" customWidth="1"/>
    <col min="2310" max="2557" width="8.77734375" style="1"/>
    <col min="2558" max="2558" width="8.33203125" style="1" customWidth="1"/>
    <col min="2559" max="2559" width="8.44140625" style="1" customWidth="1"/>
    <col min="2560" max="2560" width="14.77734375" style="1" bestFit="1" customWidth="1"/>
    <col min="2561" max="2561" width="9.33203125" style="1" bestFit="1" customWidth="1"/>
    <col min="2562" max="2562" width="6.88671875" style="1" bestFit="1" customWidth="1"/>
    <col min="2563" max="2565" width="3.6640625" style="1" customWidth="1"/>
    <col min="2566" max="2813" width="8.77734375" style="1"/>
    <col min="2814" max="2814" width="8.33203125" style="1" customWidth="1"/>
    <col min="2815" max="2815" width="8.44140625" style="1" customWidth="1"/>
    <col min="2816" max="2816" width="14.77734375" style="1" bestFit="1" customWidth="1"/>
    <col min="2817" max="2817" width="9.33203125" style="1" bestFit="1" customWidth="1"/>
    <col min="2818" max="2818" width="6.88671875" style="1" bestFit="1" customWidth="1"/>
    <col min="2819" max="2821" width="3.6640625" style="1" customWidth="1"/>
    <col min="2822" max="3069" width="8.77734375" style="1"/>
    <col min="3070" max="3070" width="8.33203125" style="1" customWidth="1"/>
    <col min="3071" max="3071" width="8.44140625" style="1" customWidth="1"/>
    <col min="3072" max="3072" width="14.77734375" style="1" bestFit="1" customWidth="1"/>
    <col min="3073" max="3073" width="9.33203125" style="1" bestFit="1" customWidth="1"/>
    <col min="3074" max="3074" width="6.88671875" style="1" bestFit="1" customWidth="1"/>
    <col min="3075" max="3077" width="3.6640625" style="1" customWidth="1"/>
    <col min="3078" max="3325" width="8.77734375" style="1"/>
    <col min="3326" max="3326" width="8.33203125" style="1" customWidth="1"/>
    <col min="3327" max="3327" width="8.44140625" style="1" customWidth="1"/>
    <col min="3328" max="3328" width="14.77734375" style="1" bestFit="1" customWidth="1"/>
    <col min="3329" max="3329" width="9.33203125" style="1" bestFit="1" customWidth="1"/>
    <col min="3330" max="3330" width="6.88671875" style="1" bestFit="1" customWidth="1"/>
    <col min="3331" max="3333" width="3.6640625" style="1" customWidth="1"/>
    <col min="3334" max="3581" width="8.77734375" style="1"/>
    <col min="3582" max="3582" width="8.33203125" style="1" customWidth="1"/>
    <col min="3583" max="3583" width="8.44140625" style="1" customWidth="1"/>
    <col min="3584" max="3584" width="14.77734375" style="1" bestFit="1" customWidth="1"/>
    <col min="3585" max="3585" width="9.33203125" style="1" bestFit="1" customWidth="1"/>
    <col min="3586" max="3586" width="6.88671875" style="1" bestFit="1" customWidth="1"/>
    <col min="3587" max="3589" width="3.6640625" style="1" customWidth="1"/>
    <col min="3590" max="3837" width="8.77734375" style="1"/>
    <col min="3838" max="3838" width="8.33203125" style="1" customWidth="1"/>
    <col min="3839" max="3839" width="8.44140625" style="1" customWidth="1"/>
    <col min="3840" max="3840" width="14.77734375" style="1" bestFit="1" customWidth="1"/>
    <col min="3841" max="3841" width="9.33203125" style="1" bestFit="1" customWidth="1"/>
    <col min="3842" max="3842" width="6.88671875" style="1" bestFit="1" customWidth="1"/>
    <col min="3843" max="3845" width="3.6640625" style="1" customWidth="1"/>
    <col min="3846" max="4093" width="8.77734375" style="1"/>
    <col min="4094" max="4094" width="8.33203125" style="1" customWidth="1"/>
    <col min="4095" max="4095" width="8.44140625" style="1" customWidth="1"/>
    <col min="4096" max="4096" width="14.77734375" style="1" bestFit="1" customWidth="1"/>
    <col min="4097" max="4097" width="9.33203125" style="1" bestFit="1" customWidth="1"/>
    <col min="4098" max="4098" width="6.88671875" style="1" bestFit="1" customWidth="1"/>
    <col min="4099" max="4101" width="3.6640625" style="1" customWidth="1"/>
    <col min="4102" max="4349" width="8.77734375" style="1"/>
    <col min="4350" max="4350" width="8.33203125" style="1" customWidth="1"/>
    <col min="4351" max="4351" width="8.44140625" style="1" customWidth="1"/>
    <col min="4352" max="4352" width="14.77734375" style="1" bestFit="1" customWidth="1"/>
    <col min="4353" max="4353" width="9.33203125" style="1" bestFit="1" customWidth="1"/>
    <col min="4354" max="4354" width="6.88671875" style="1" bestFit="1" customWidth="1"/>
    <col min="4355" max="4357" width="3.6640625" style="1" customWidth="1"/>
    <col min="4358" max="4605" width="8.77734375" style="1"/>
    <col min="4606" max="4606" width="8.33203125" style="1" customWidth="1"/>
    <col min="4607" max="4607" width="8.44140625" style="1" customWidth="1"/>
    <col min="4608" max="4608" width="14.77734375" style="1" bestFit="1" customWidth="1"/>
    <col min="4609" max="4609" width="9.33203125" style="1" bestFit="1" customWidth="1"/>
    <col min="4610" max="4610" width="6.88671875" style="1" bestFit="1" customWidth="1"/>
    <col min="4611" max="4613" width="3.6640625" style="1" customWidth="1"/>
    <col min="4614" max="4861" width="8.77734375" style="1"/>
    <col min="4862" max="4862" width="8.33203125" style="1" customWidth="1"/>
    <col min="4863" max="4863" width="8.44140625" style="1" customWidth="1"/>
    <col min="4864" max="4864" width="14.77734375" style="1" bestFit="1" customWidth="1"/>
    <col min="4865" max="4865" width="9.33203125" style="1" bestFit="1" customWidth="1"/>
    <col min="4866" max="4866" width="6.88671875" style="1" bestFit="1" customWidth="1"/>
    <col min="4867" max="4869" width="3.6640625" style="1" customWidth="1"/>
    <col min="4870" max="5117" width="8.77734375" style="1"/>
    <col min="5118" max="5118" width="8.33203125" style="1" customWidth="1"/>
    <col min="5119" max="5119" width="8.44140625" style="1" customWidth="1"/>
    <col min="5120" max="5120" width="14.77734375" style="1" bestFit="1" customWidth="1"/>
    <col min="5121" max="5121" width="9.33203125" style="1" bestFit="1" customWidth="1"/>
    <col min="5122" max="5122" width="6.88671875" style="1" bestFit="1" customWidth="1"/>
    <col min="5123" max="5125" width="3.6640625" style="1" customWidth="1"/>
    <col min="5126" max="5373" width="8.77734375" style="1"/>
    <col min="5374" max="5374" width="8.33203125" style="1" customWidth="1"/>
    <col min="5375" max="5375" width="8.44140625" style="1" customWidth="1"/>
    <col min="5376" max="5376" width="14.77734375" style="1" bestFit="1" customWidth="1"/>
    <col min="5377" max="5377" width="9.33203125" style="1" bestFit="1" customWidth="1"/>
    <col min="5378" max="5378" width="6.88671875" style="1" bestFit="1" customWidth="1"/>
    <col min="5379" max="5381" width="3.6640625" style="1" customWidth="1"/>
    <col min="5382" max="5629" width="8.77734375" style="1"/>
    <col min="5630" max="5630" width="8.33203125" style="1" customWidth="1"/>
    <col min="5631" max="5631" width="8.44140625" style="1" customWidth="1"/>
    <col min="5632" max="5632" width="14.77734375" style="1" bestFit="1" customWidth="1"/>
    <col min="5633" max="5633" width="9.33203125" style="1" bestFit="1" customWidth="1"/>
    <col min="5634" max="5634" width="6.88671875" style="1" bestFit="1" customWidth="1"/>
    <col min="5635" max="5637" width="3.6640625" style="1" customWidth="1"/>
    <col min="5638" max="5885" width="8.77734375" style="1"/>
    <col min="5886" max="5886" width="8.33203125" style="1" customWidth="1"/>
    <col min="5887" max="5887" width="8.44140625" style="1" customWidth="1"/>
    <col min="5888" max="5888" width="14.77734375" style="1" bestFit="1" customWidth="1"/>
    <col min="5889" max="5889" width="9.33203125" style="1" bestFit="1" customWidth="1"/>
    <col min="5890" max="5890" width="6.88671875" style="1" bestFit="1" customWidth="1"/>
    <col min="5891" max="5893" width="3.6640625" style="1" customWidth="1"/>
    <col min="5894" max="6141" width="8.77734375" style="1"/>
    <col min="6142" max="6142" width="8.33203125" style="1" customWidth="1"/>
    <col min="6143" max="6143" width="8.44140625" style="1" customWidth="1"/>
    <col min="6144" max="6144" width="14.77734375" style="1" bestFit="1" customWidth="1"/>
    <col min="6145" max="6145" width="9.33203125" style="1" bestFit="1" customWidth="1"/>
    <col min="6146" max="6146" width="6.88671875" style="1" bestFit="1" customWidth="1"/>
    <col min="6147" max="6149" width="3.6640625" style="1" customWidth="1"/>
    <col min="6150" max="6397" width="8.77734375" style="1"/>
    <col min="6398" max="6398" width="8.33203125" style="1" customWidth="1"/>
    <col min="6399" max="6399" width="8.44140625" style="1" customWidth="1"/>
    <col min="6400" max="6400" width="14.77734375" style="1" bestFit="1" customWidth="1"/>
    <col min="6401" max="6401" width="9.33203125" style="1" bestFit="1" customWidth="1"/>
    <col min="6402" max="6402" width="6.88671875" style="1" bestFit="1" customWidth="1"/>
    <col min="6403" max="6405" width="3.6640625" style="1" customWidth="1"/>
    <col min="6406" max="6653" width="8.77734375" style="1"/>
    <col min="6654" max="6654" width="8.33203125" style="1" customWidth="1"/>
    <col min="6655" max="6655" width="8.44140625" style="1" customWidth="1"/>
    <col min="6656" max="6656" width="14.77734375" style="1" bestFit="1" customWidth="1"/>
    <col min="6657" max="6657" width="9.33203125" style="1" bestFit="1" customWidth="1"/>
    <col min="6658" max="6658" width="6.88671875" style="1" bestFit="1" customWidth="1"/>
    <col min="6659" max="6661" width="3.6640625" style="1" customWidth="1"/>
    <col min="6662" max="6909" width="8.77734375" style="1"/>
    <col min="6910" max="6910" width="8.33203125" style="1" customWidth="1"/>
    <col min="6911" max="6911" width="8.44140625" style="1" customWidth="1"/>
    <col min="6912" max="6912" width="14.77734375" style="1" bestFit="1" customWidth="1"/>
    <col min="6913" max="6913" width="9.33203125" style="1" bestFit="1" customWidth="1"/>
    <col min="6914" max="6914" width="6.88671875" style="1" bestFit="1" customWidth="1"/>
    <col min="6915" max="6917" width="3.6640625" style="1" customWidth="1"/>
    <col min="6918" max="7165" width="8.77734375" style="1"/>
    <col min="7166" max="7166" width="8.33203125" style="1" customWidth="1"/>
    <col min="7167" max="7167" width="8.44140625" style="1" customWidth="1"/>
    <col min="7168" max="7168" width="14.77734375" style="1" bestFit="1" customWidth="1"/>
    <col min="7169" max="7169" width="9.33203125" style="1" bestFit="1" customWidth="1"/>
    <col min="7170" max="7170" width="6.88671875" style="1" bestFit="1" customWidth="1"/>
    <col min="7171" max="7173" width="3.6640625" style="1" customWidth="1"/>
    <col min="7174" max="7421" width="8.77734375" style="1"/>
    <col min="7422" max="7422" width="8.33203125" style="1" customWidth="1"/>
    <col min="7423" max="7423" width="8.44140625" style="1" customWidth="1"/>
    <col min="7424" max="7424" width="14.77734375" style="1" bestFit="1" customWidth="1"/>
    <col min="7425" max="7425" width="9.33203125" style="1" bestFit="1" customWidth="1"/>
    <col min="7426" max="7426" width="6.88671875" style="1" bestFit="1" customWidth="1"/>
    <col min="7427" max="7429" width="3.6640625" style="1" customWidth="1"/>
    <col min="7430" max="7677" width="8.77734375" style="1"/>
    <col min="7678" max="7678" width="8.33203125" style="1" customWidth="1"/>
    <col min="7679" max="7679" width="8.44140625" style="1" customWidth="1"/>
    <col min="7680" max="7680" width="14.77734375" style="1" bestFit="1" customWidth="1"/>
    <col min="7681" max="7681" width="9.33203125" style="1" bestFit="1" customWidth="1"/>
    <col min="7682" max="7682" width="6.88671875" style="1" bestFit="1" customWidth="1"/>
    <col min="7683" max="7685" width="3.6640625" style="1" customWidth="1"/>
    <col min="7686" max="7933" width="8.77734375" style="1"/>
    <col min="7934" max="7934" width="8.33203125" style="1" customWidth="1"/>
    <col min="7935" max="7935" width="8.44140625" style="1" customWidth="1"/>
    <col min="7936" max="7936" width="14.77734375" style="1" bestFit="1" customWidth="1"/>
    <col min="7937" max="7937" width="9.33203125" style="1" bestFit="1" customWidth="1"/>
    <col min="7938" max="7938" width="6.88671875" style="1" bestFit="1" customWidth="1"/>
    <col min="7939" max="7941" width="3.6640625" style="1" customWidth="1"/>
    <col min="7942" max="8189" width="8.77734375" style="1"/>
    <col min="8190" max="8190" width="8.33203125" style="1" customWidth="1"/>
    <col min="8191" max="8191" width="8.44140625" style="1" customWidth="1"/>
    <col min="8192" max="8192" width="14.77734375" style="1" bestFit="1" customWidth="1"/>
    <col min="8193" max="8193" width="9.33203125" style="1" bestFit="1" customWidth="1"/>
    <col min="8194" max="8194" width="6.88671875" style="1" bestFit="1" customWidth="1"/>
    <col min="8195" max="8197" width="3.6640625" style="1" customWidth="1"/>
    <col min="8198" max="8445" width="8.77734375" style="1"/>
    <col min="8446" max="8446" width="8.33203125" style="1" customWidth="1"/>
    <col min="8447" max="8447" width="8.44140625" style="1" customWidth="1"/>
    <col min="8448" max="8448" width="14.77734375" style="1" bestFit="1" customWidth="1"/>
    <col min="8449" max="8449" width="9.33203125" style="1" bestFit="1" customWidth="1"/>
    <col min="8450" max="8450" width="6.88671875" style="1" bestFit="1" customWidth="1"/>
    <col min="8451" max="8453" width="3.6640625" style="1" customWidth="1"/>
    <col min="8454" max="8701" width="8.77734375" style="1"/>
    <col min="8702" max="8702" width="8.33203125" style="1" customWidth="1"/>
    <col min="8703" max="8703" width="8.44140625" style="1" customWidth="1"/>
    <col min="8704" max="8704" width="14.77734375" style="1" bestFit="1" customWidth="1"/>
    <col min="8705" max="8705" width="9.33203125" style="1" bestFit="1" customWidth="1"/>
    <col min="8706" max="8706" width="6.88671875" style="1" bestFit="1" customWidth="1"/>
    <col min="8707" max="8709" width="3.6640625" style="1" customWidth="1"/>
    <col min="8710" max="8957" width="8.77734375" style="1"/>
    <col min="8958" max="8958" width="8.33203125" style="1" customWidth="1"/>
    <col min="8959" max="8959" width="8.44140625" style="1" customWidth="1"/>
    <col min="8960" max="8960" width="14.77734375" style="1" bestFit="1" customWidth="1"/>
    <col min="8961" max="8961" width="9.33203125" style="1" bestFit="1" customWidth="1"/>
    <col min="8962" max="8962" width="6.88671875" style="1" bestFit="1" customWidth="1"/>
    <col min="8963" max="8965" width="3.6640625" style="1" customWidth="1"/>
    <col min="8966" max="9213" width="8.77734375" style="1"/>
    <col min="9214" max="9214" width="8.33203125" style="1" customWidth="1"/>
    <col min="9215" max="9215" width="8.44140625" style="1" customWidth="1"/>
    <col min="9216" max="9216" width="14.77734375" style="1" bestFit="1" customWidth="1"/>
    <col min="9217" max="9217" width="9.33203125" style="1" bestFit="1" customWidth="1"/>
    <col min="9218" max="9218" width="6.88671875" style="1" bestFit="1" customWidth="1"/>
    <col min="9219" max="9221" width="3.6640625" style="1" customWidth="1"/>
    <col min="9222" max="9469" width="8.77734375" style="1"/>
    <col min="9470" max="9470" width="8.33203125" style="1" customWidth="1"/>
    <col min="9471" max="9471" width="8.44140625" style="1" customWidth="1"/>
    <col min="9472" max="9472" width="14.77734375" style="1" bestFit="1" customWidth="1"/>
    <col min="9473" max="9473" width="9.33203125" style="1" bestFit="1" customWidth="1"/>
    <col min="9474" max="9474" width="6.88671875" style="1" bestFit="1" customWidth="1"/>
    <col min="9475" max="9477" width="3.6640625" style="1" customWidth="1"/>
    <col min="9478" max="9725" width="8.77734375" style="1"/>
    <col min="9726" max="9726" width="8.33203125" style="1" customWidth="1"/>
    <col min="9727" max="9727" width="8.44140625" style="1" customWidth="1"/>
    <col min="9728" max="9728" width="14.77734375" style="1" bestFit="1" customWidth="1"/>
    <col min="9729" max="9729" width="9.33203125" style="1" bestFit="1" customWidth="1"/>
    <col min="9730" max="9730" width="6.88671875" style="1" bestFit="1" customWidth="1"/>
    <col min="9731" max="9733" width="3.6640625" style="1" customWidth="1"/>
    <col min="9734" max="9981" width="8.77734375" style="1"/>
    <col min="9982" max="9982" width="8.33203125" style="1" customWidth="1"/>
    <col min="9983" max="9983" width="8.44140625" style="1" customWidth="1"/>
    <col min="9984" max="9984" width="14.77734375" style="1" bestFit="1" customWidth="1"/>
    <col min="9985" max="9985" width="9.33203125" style="1" bestFit="1" customWidth="1"/>
    <col min="9986" max="9986" width="6.88671875" style="1" bestFit="1" customWidth="1"/>
    <col min="9987" max="9989" width="3.6640625" style="1" customWidth="1"/>
    <col min="9990" max="10237" width="8.77734375" style="1"/>
    <col min="10238" max="10238" width="8.33203125" style="1" customWidth="1"/>
    <col min="10239" max="10239" width="8.44140625" style="1" customWidth="1"/>
    <col min="10240" max="10240" width="14.77734375" style="1" bestFit="1" customWidth="1"/>
    <col min="10241" max="10241" width="9.33203125" style="1" bestFit="1" customWidth="1"/>
    <col min="10242" max="10242" width="6.88671875" style="1" bestFit="1" customWidth="1"/>
    <col min="10243" max="10245" width="3.6640625" style="1" customWidth="1"/>
    <col min="10246" max="10493" width="8.77734375" style="1"/>
    <col min="10494" max="10494" width="8.33203125" style="1" customWidth="1"/>
    <col min="10495" max="10495" width="8.44140625" style="1" customWidth="1"/>
    <col min="10496" max="10496" width="14.77734375" style="1" bestFit="1" customWidth="1"/>
    <col min="10497" max="10497" width="9.33203125" style="1" bestFit="1" customWidth="1"/>
    <col min="10498" max="10498" width="6.88671875" style="1" bestFit="1" customWidth="1"/>
    <col min="10499" max="10501" width="3.6640625" style="1" customWidth="1"/>
    <col min="10502" max="10749" width="8.77734375" style="1"/>
    <col min="10750" max="10750" width="8.33203125" style="1" customWidth="1"/>
    <col min="10751" max="10751" width="8.44140625" style="1" customWidth="1"/>
    <col min="10752" max="10752" width="14.77734375" style="1" bestFit="1" customWidth="1"/>
    <col min="10753" max="10753" width="9.33203125" style="1" bestFit="1" customWidth="1"/>
    <col min="10754" max="10754" width="6.88671875" style="1" bestFit="1" customWidth="1"/>
    <col min="10755" max="10757" width="3.6640625" style="1" customWidth="1"/>
    <col min="10758" max="11005" width="8.77734375" style="1"/>
    <col min="11006" max="11006" width="8.33203125" style="1" customWidth="1"/>
    <col min="11007" max="11007" width="8.44140625" style="1" customWidth="1"/>
    <col min="11008" max="11008" width="14.77734375" style="1" bestFit="1" customWidth="1"/>
    <col min="11009" max="11009" width="9.33203125" style="1" bestFit="1" customWidth="1"/>
    <col min="11010" max="11010" width="6.88671875" style="1" bestFit="1" customWidth="1"/>
    <col min="11011" max="11013" width="3.6640625" style="1" customWidth="1"/>
    <col min="11014" max="11261" width="8.77734375" style="1"/>
    <col min="11262" max="11262" width="8.33203125" style="1" customWidth="1"/>
    <col min="11263" max="11263" width="8.44140625" style="1" customWidth="1"/>
    <col min="11264" max="11264" width="14.77734375" style="1" bestFit="1" customWidth="1"/>
    <col min="11265" max="11265" width="9.33203125" style="1" bestFit="1" customWidth="1"/>
    <col min="11266" max="11266" width="6.88671875" style="1" bestFit="1" customWidth="1"/>
    <col min="11267" max="11269" width="3.6640625" style="1" customWidth="1"/>
    <col min="11270" max="11517" width="8.77734375" style="1"/>
    <col min="11518" max="11518" width="8.33203125" style="1" customWidth="1"/>
    <col min="11519" max="11519" width="8.44140625" style="1" customWidth="1"/>
    <col min="11520" max="11520" width="14.77734375" style="1" bestFit="1" customWidth="1"/>
    <col min="11521" max="11521" width="9.33203125" style="1" bestFit="1" customWidth="1"/>
    <col min="11522" max="11522" width="6.88671875" style="1" bestFit="1" customWidth="1"/>
    <col min="11523" max="11525" width="3.6640625" style="1" customWidth="1"/>
    <col min="11526" max="11773" width="8.77734375" style="1"/>
    <col min="11774" max="11774" width="8.33203125" style="1" customWidth="1"/>
    <col min="11775" max="11775" width="8.44140625" style="1" customWidth="1"/>
    <col min="11776" max="11776" width="14.77734375" style="1" bestFit="1" customWidth="1"/>
    <col min="11777" max="11777" width="9.33203125" style="1" bestFit="1" customWidth="1"/>
    <col min="11778" max="11778" width="6.88671875" style="1" bestFit="1" customWidth="1"/>
    <col min="11779" max="11781" width="3.6640625" style="1" customWidth="1"/>
    <col min="11782" max="12029" width="8.77734375" style="1"/>
    <col min="12030" max="12030" width="8.33203125" style="1" customWidth="1"/>
    <col min="12031" max="12031" width="8.44140625" style="1" customWidth="1"/>
    <col min="12032" max="12032" width="14.77734375" style="1" bestFit="1" customWidth="1"/>
    <col min="12033" max="12033" width="9.33203125" style="1" bestFit="1" customWidth="1"/>
    <col min="12034" max="12034" width="6.88671875" style="1" bestFit="1" customWidth="1"/>
    <col min="12035" max="12037" width="3.6640625" style="1" customWidth="1"/>
    <col min="12038" max="12285" width="8.77734375" style="1"/>
    <col min="12286" max="12286" width="8.33203125" style="1" customWidth="1"/>
    <col min="12287" max="12287" width="8.44140625" style="1" customWidth="1"/>
    <col min="12288" max="12288" width="14.77734375" style="1" bestFit="1" customWidth="1"/>
    <col min="12289" max="12289" width="9.33203125" style="1" bestFit="1" customWidth="1"/>
    <col min="12290" max="12290" width="6.88671875" style="1" bestFit="1" customWidth="1"/>
    <col min="12291" max="12293" width="3.6640625" style="1" customWidth="1"/>
    <col min="12294" max="12541" width="8.77734375" style="1"/>
    <col min="12542" max="12542" width="8.33203125" style="1" customWidth="1"/>
    <col min="12543" max="12543" width="8.44140625" style="1" customWidth="1"/>
    <col min="12544" max="12544" width="14.77734375" style="1" bestFit="1" customWidth="1"/>
    <col min="12545" max="12545" width="9.33203125" style="1" bestFit="1" customWidth="1"/>
    <col min="12546" max="12546" width="6.88671875" style="1" bestFit="1" customWidth="1"/>
    <col min="12547" max="12549" width="3.6640625" style="1" customWidth="1"/>
    <col min="12550" max="12797" width="8.77734375" style="1"/>
    <col min="12798" max="12798" width="8.33203125" style="1" customWidth="1"/>
    <col min="12799" max="12799" width="8.44140625" style="1" customWidth="1"/>
    <col min="12800" max="12800" width="14.77734375" style="1" bestFit="1" customWidth="1"/>
    <col min="12801" max="12801" width="9.33203125" style="1" bestFit="1" customWidth="1"/>
    <col min="12802" max="12802" width="6.88671875" style="1" bestFit="1" customWidth="1"/>
    <col min="12803" max="12805" width="3.6640625" style="1" customWidth="1"/>
    <col min="12806" max="13053" width="8.77734375" style="1"/>
    <col min="13054" max="13054" width="8.33203125" style="1" customWidth="1"/>
    <col min="13055" max="13055" width="8.44140625" style="1" customWidth="1"/>
    <col min="13056" max="13056" width="14.77734375" style="1" bestFit="1" customWidth="1"/>
    <col min="13057" max="13057" width="9.33203125" style="1" bestFit="1" customWidth="1"/>
    <col min="13058" max="13058" width="6.88671875" style="1" bestFit="1" customWidth="1"/>
    <col min="13059" max="13061" width="3.6640625" style="1" customWidth="1"/>
    <col min="13062" max="13309" width="8.77734375" style="1"/>
    <col min="13310" max="13310" width="8.33203125" style="1" customWidth="1"/>
    <col min="13311" max="13311" width="8.44140625" style="1" customWidth="1"/>
    <col min="13312" max="13312" width="14.77734375" style="1" bestFit="1" customWidth="1"/>
    <col min="13313" max="13313" width="9.33203125" style="1" bestFit="1" customWidth="1"/>
    <col min="13314" max="13314" width="6.88671875" style="1" bestFit="1" customWidth="1"/>
    <col min="13315" max="13317" width="3.6640625" style="1" customWidth="1"/>
    <col min="13318" max="13565" width="8.77734375" style="1"/>
    <col min="13566" max="13566" width="8.33203125" style="1" customWidth="1"/>
    <col min="13567" max="13567" width="8.44140625" style="1" customWidth="1"/>
    <col min="13568" max="13568" width="14.77734375" style="1" bestFit="1" customWidth="1"/>
    <col min="13569" max="13569" width="9.33203125" style="1" bestFit="1" customWidth="1"/>
    <col min="13570" max="13570" width="6.88671875" style="1" bestFit="1" customWidth="1"/>
    <col min="13571" max="13573" width="3.6640625" style="1" customWidth="1"/>
    <col min="13574" max="13821" width="8.77734375" style="1"/>
    <col min="13822" max="13822" width="8.33203125" style="1" customWidth="1"/>
    <col min="13823" max="13823" width="8.44140625" style="1" customWidth="1"/>
    <col min="13824" max="13824" width="14.77734375" style="1" bestFit="1" customWidth="1"/>
    <col min="13825" max="13825" width="9.33203125" style="1" bestFit="1" customWidth="1"/>
    <col min="13826" max="13826" width="6.88671875" style="1" bestFit="1" customWidth="1"/>
    <col min="13827" max="13829" width="3.6640625" style="1" customWidth="1"/>
    <col min="13830" max="14077" width="8.77734375" style="1"/>
    <col min="14078" max="14078" width="8.33203125" style="1" customWidth="1"/>
    <col min="14079" max="14079" width="8.44140625" style="1" customWidth="1"/>
    <col min="14080" max="14080" width="14.77734375" style="1" bestFit="1" customWidth="1"/>
    <col min="14081" max="14081" width="9.33203125" style="1" bestFit="1" customWidth="1"/>
    <col min="14082" max="14082" width="6.88671875" style="1" bestFit="1" customWidth="1"/>
    <col min="14083" max="14085" width="3.6640625" style="1" customWidth="1"/>
    <col min="14086" max="14333" width="8.77734375" style="1"/>
    <col min="14334" max="14334" width="8.33203125" style="1" customWidth="1"/>
    <col min="14335" max="14335" width="8.44140625" style="1" customWidth="1"/>
    <col min="14336" max="14336" width="14.77734375" style="1" bestFit="1" customWidth="1"/>
    <col min="14337" max="14337" width="9.33203125" style="1" bestFit="1" customWidth="1"/>
    <col min="14338" max="14338" width="6.88671875" style="1" bestFit="1" customWidth="1"/>
    <col min="14339" max="14341" width="3.6640625" style="1" customWidth="1"/>
    <col min="14342" max="14589" width="8.77734375" style="1"/>
    <col min="14590" max="14590" width="8.33203125" style="1" customWidth="1"/>
    <col min="14591" max="14591" width="8.44140625" style="1" customWidth="1"/>
    <col min="14592" max="14592" width="14.77734375" style="1" bestFit="1" customWidth="1"/>
    <col min="14593" max="14593" width="9.33203125" style="1" bestFit="1" customWidth="1"/>
    <col min="14594" max="14594" width="6.88671875" style="1" bestFit="1" customWidth="1"/>
    <col min="14595" max="14597" width="3.6640625" style="1" customWidth="1"/>
    <col min="14598" max="14845" width="8.77734375" style="1"/>
    <col min="14846" max="14846" width="8.33203125" style="1" customWidth="1"/>
    <col min="14847" max="14847" width="8.44140625" style="1" customWidth="1"/>
    <col min="14848" max="14848" width="14.77734375" style="1" bestFit="1" customWidth="1"/>
    <col min="14849" max="14849" width="9.33203125" style="1" bestFit="1" customWidth="1"/>
    <col min="14850" max="14850" width="6.88671875" style="1" bestFit="1" customWidth="1"/>
    <col min="14851" max="14853" width="3.6640625" style="1" customWidth="1"/>
    <col min="14854" max="15101" width="8.77734375" style="1"/>
    <col min="15102" max="15102" width="8.33203125" style="1" customWidth="1"/>
    <col min="15103" max="15103" width="8.44140625" style="1" customWidth="1"/>
    <col min="15104" max="15104" width="14.77734375" style="1" bestFit="1" customWidth="1"/>
    <col min="15105" max="15105" width="9.33203125" style="1" bestFit="1" customWidth="1"/>
    <col min="15106" max="15106" width="6.88671875" style="1" bestFit="1" customWidth="1"/>
    <col min="15107" max="15109" width="3.6640625" style="1" customWidth="1"/>
    <col min="15110" max="15357" width="8.77734375" style="1"/>
    <col min="15358" max="15358" width="8.33203125" style="1" customWidth="1"/>
    <col min="15359" max="15359" width="8.44140625" style="1" customWidth="1"/>
    <col min="15360" max="15360" width="14.77734375" style="1" bestFit="1" customWidth="1"/>
    <col min="15361" max="15361" width="9.33203125" style="1" bestFit="1" customWidth="1"/>
    <col min="15362" max="15362" width="6.88671875" style="1" bestFit="1" customWidth="1"/>
    <col min="15363" max="15365" width="3.6640625" style="1" customWidth="1"/>
    <col min="15366" max="15613" width="8.77734375" style="1"/>
    <col min="15614" max="15614" width="8.33203125" style="1" customWidth="1"/>
    <col min="15615" max="15615" width="8.44140625" style="1" customWidth="1"/>
    <col min="15616" max="15616" width="14.77734375" style="1" bestFit="1" customWidth="1"/>
    <col min="15617" max="15617" width="9.33203125" style="1" bestFit="1" customWidth="1"/>
    <col min="15618" max="15618" width="6.88671875" style="1" bestFit="1" customWidth="1"/>
    <col min="15619" max="15621" width="3.6640625" style="1" customWidth="1"/>
    <col min="15622" max="15869" width="8.77734375" style="1"/>
    <col min="15870" max="15870" width="8.33203125" style="1" customWidth="1"/>
    <col min="15871" max="15871" width="8.44140625" style="1" customWidth="1"/>
    <col min="15872" max="15872" width="14.77734375" style="1" bestFit="1" customWidth="1"/>
    <col min="15873" max="15873" width="9.33203125" style="1" bestFit="1" customWidth="1"/>
    <col min="15874" max="15874" width="6.88671875" style="1" bestFit="1" customWidth="1"/>
    <col min="15875" max="15877" width="3.6640625" style="1" customWidth="1"/>
    <col min="15878" max="16125" width="8.77734375" style="1"/>
    <col min="16126" max="16126" width="8.33203125" style="1" customWidth="1"/>
    <col min="16127" max="16127" width="8.44140625" style="1" customWidth="1"/>
    <col min="16128" max="16128" width="14.77734375" style="1" bestFit="1" customWidth="1"/>
    <col min="16129" max="16129" width="9.33203125" style="1" bestFit="1" customWidth="1"/>
    <col min="16130" max="16130" width="6.88671875" style="1" bestFit="1" customWidth="1"/>
    <col min="16131" max="16133" width="3.6640625" style="1" customWidth="1"/>
    <col min="16134" max="16384" width="8.77734375" style="1"/>
  </cols>
  <sheetData>
    <row r="1" spans="1:5" ht="15" customHeight="1" x14ac:dyDescent="0.15"/>
    <row r="2" spans="1:5" ht="15" customHeight="1" x14ac:dyDescent="0.15">
      <c r="A2" s="100" t="s">
        <v>123</v>
      </c>
      <c r="B2" s="101"/>
      <c r="E2" s="222"/>
    </row>
    <row r="3" spans="1:5" s="5" customFormat="1" ht="12" customHeight="1" x14ac:dyDescent="0.15">
      <c r="A3" s="204" t="s">
        <v>68</v>
      </c>
      <c r="B3" s="206" t="s">
        <v>67</v>
      </c>
      <c r="C3" s="163" t="s">
        <v>78</v>
      </c>
      <c r="D3" s="164" t="s">
        <v>73</v>
      </c>
      <c r="E3" s="223" t="s">
        <v>74</v>
      </c>
    </row>
    <row r="4" spans="1:5" s="5" customFormat="1" ht="12" customHeight="1" x14ac:dyDescent="0.15">
      <c r="A4" s="205"/>
      <c r="B4" s="207"/>
      <c r="C4" s="105">
        <v>2024</v>
      </c>
      <c r="D4" s="105">
        <v>2024</v>
      </c>
      <c r="E4" s="106">
        <v>2024</v>
      </c>
    </row>
    <row r="5" spans="1:5" s="5" customFormat="1" ht="8.4499999999999993" customHeight="1" x14ac:dyDescent="0.15">
      <c r="A5" s="198" t="s">
        <v>63</v>
      </c>
      <c r="B5" s="108" t="s">
        <v>60</v>
      </c>
      <c r="C5" s="238">
        <v>853458</v>
      </c>
      <c r="D5" s="238">
        <v>784765</v>
      </c>
      <c r="E5" s="239">
        <v>91.951214939692406</v>
      </c>
    </row>
    <row r="6" spans="1:5" s="5" customFormat="1" ht="8.4499999999999993" customHeight="1" x14ac:dyDescent="0.15">
      <c r="A6" s="201"/>
      <c r="B6" s="109" t="s">
        <v>59</v>
      </c>
      <c r="C6" s="238">
        <v>957939.7</v>
      </c>
      <c r="D6" s="238">
        <v>980554</v>
      </c>
      <c r="E6" s="239">
        <v>102.36072270519743</v>
      </c>
    </row>
    <row r="7" spans="1:5" s="5" customFormat="1" ht="8.4499999999999993" customHeight="1" x14ac:dyDescent="0.15">
      <c r="A7" s="201"/>
      <c r="B7" s="109" t="s">
        <v>58</v>
      </c>
      <c r="C7" s="238">
        <v>1708251</v>
      </c>
      <c r="D7" s="238">
        <v>1726735</v>
      </c>
      <c r="E7" s="239">
        <v>101.08204239306752</v>
      </c>
    </row>
    <row r="8" spans="1:5" s="5" customFormat="1" ht="8.4499999999999993" customHeight="1" x14ac:dyDescent="0.15">
      <c r="A8" s="201"/>
      <c r="B8" s="109" t="s">
        <v>28</v>
      </c>
      <c r="C8" s="238">
        <v>381084</v>
      </c>
      <c r="D8" s="238">
        <v>398869</v>
      </c>
      <c r="E8" s="239">
        <v>104.66695006875125</v>
      </c>
    </row>
    <row r="9" spans="1:5" s="5" customFormat="1" ht="8.4499999999999993" customHeight="1" x14ac:dyDescent="0.15">
      <c r="A9" s="201"/>
      <c r="B9" s="109" t="s">
        <v>57</v>
      </c>
      <c r="C9" s="238">
        <v>581330</v>
      </c>
      <c r="D9" s="238">
        <v>550520</v>
      </c>
      <c r="E9" s="239">
        <v>94.700084289474134</v>
      </c>
    </row>
    <row r="10" spans="1:5" s="5" customFormat="1" ht="8.4499999999999993" customHeight="1" x14ac:dyDescent="0.15">
      <c r="A10" s="201"/>
      <c r="B10" s="110" t="s">
        <v>4</v>
      </c>
      <c r="C10" s="238">
        <v>4482062.7</v>
      </c>
      <c r="D10" s="238">
        <v>4441443</v>
      </c>
      <c r="E10" s="239">
        <v>99.093727537546499</v>
      </c>
    </row>
    <row r="11" spans="1:5" s="5" customFormat="1" ht="8.4499999999999993" customHeight="1" x14ac:dyDescent="0.15">
      <c r="A11" s="201" t="s">
        <v>62</v>
      </c>
      <c r="B11" s="111" t="s">
        <v>56</v>
      </c>
      <c r="C11" s="238">
        <v>471427</v>
      </c>
      <c r="D11" s="238">
        <v>425617</v>
      </c>
      <c r="E11" s="239">
        <v>90.282694881710214</v>
      </c>
    </row>
    <row r="12" spans="1:5" s="5" customFormat="1" ht="8.4499999999999993" customHeight="1" x14ac:dyDescent="0.15">
      <c r="A12" s="201"/>
      <c r="B12" s="109" t="s">
        <v>55</v>
      </c>
      <c r="C12" s="238">
        <v>890528</v>
      </c>
      <c r="D12" s="238">
        <v>789615</v>
      </c>
      <c r="E12" s="239">
        <v>88.668183369865972</v>
      </c>
    </row>
    <row r="13" spans="1:5" s="5" customFormat="1" ht="8.4499999999999993" customHeight="1" x14ac:dyDescent="0.15">
      <c r="A13" s="201"/>
      <c r="B13" s="110" t="s">
        <v>4</v>
      </c>
      <c r="C13" s="238">
        <v>1361955</v>
      </c>
      <c r="D13" s="238">
        <v>1215232</v>
      </c>
      <c r="E13" s="239">
        <v>89.22703026164595</v>
      </c>
    </row>
    <row r="14" spans="1:5" s="5" customFormat="1" ht="8.4499999999999993" customHeight="1" x14ac:dyDescent="0.15">
      <c r="A14" s="196" t="s">
        <v>61</v>
      </c>
      <c r="B14" s="111" t="s">
        <v>60</v>
      </c>
      <c r="C14" s="238">
        <v>919314</v>
      </c>
      <c r="D14" s="238">
        <v>745788</v>
      </c>
      <c r="E14" s="239">
        <v>81.124403631403425</v>
      </c>
    </row>
    <row r="15" spans="1:5" s="5" customFormat="1" ht="8.4499999999999993" customHeight="1" x14ac:dyDescent="0.15">
      <c r="A15" s="197"/>
      <c r="B15" s="109" t="s">
        <v>59</v>
      </c>
      <c r="C15" s="238">
        <v>489254</v>
      </c>
      <c r="D15" s="238">
        <v>378199</v>
      </c>
      <c r="E15" s="239">
        <v>77.301156454520566</v>
      </c>
    </row>
    <row r="16" spans="1:5" s="5" customFormat="1" ht="8.4499999999999993" customHeight="1" x14ac:dyDescent="0.15">
      <c r="A16" s="197"/>
      <c r="B16" s="109" t="s">
        <v>58</v>
      </c>
      <c r="C16" s="238">
        <v>880673</v>
      </c>
      <c r="D16" s="238">
        <v>773782</v>
      </c>
      <c r="E16" s="239">
        <v>87.862577824005044</v>
      </c>
    </row>
    <row r="17" spans="1:5" s="5" customFormat="1" ht="8.4499999999999993" customHeight="1" x14ac:dyDescent="0.15">
      <c r="A17" s="197"/>
      <c r="B17" s="109" t="s">
        <v>57</v>
      </c>
      <c r="C17" s="238">
        <v>464671</v>
      </c>
      <c r="D17" s="238">
        <v>390536</v>
      </c>
      <c r="E17" s="239">
        <v>84.045701151997861</v>
      </c>
    </row>
    <row r="18" spans="1:5" s="5" customFormat="1" ht="8.4499999999999993" customHeight="1" x14ac:dyDescent="0.15">
      <c r="A18" s="197"/>
      <c r="B18" s="109" t="s">
        <v>56</v>
      </c>
      <c r="C18" s="238">
        <v>3278828</v>
      </c>
      <c r="D18" s="238">
        <v>2794575</v>
      </c>
      <c r="E18" s="239">
        <v>85.230911777013006</v>
      </c>
    </row>
    <row r="19" spans="1:5" s="5" customFormat="1" ht="8.4499999999999993" customHeight="1" x14ac:dyDescent="0.15">
      <c r="A19" s="197"/>
      <c r="B19" s="109" t="s">
        <v>55</v>
      </c>
      <c r="C19" s="238">
        <v>18038</v>
      </c>
      <c r="D19" s="238">
        <v>11341</v>
      </c>
      <c r="E19" s="239">
        <v>62.872824038141708</v>
      </c>
    </row>
    <row r="20" spans="1:5" s="5" customFormat="1" ht="8.4499999999999993" customHeight="1" x14ac:dyDescent="0.15">
      <c r="A20" s="197"/>
      <c r="B20" s="109" t="s">
        <v>4</v>
      </c>
      <c r="C20" s="238">
        <v>6050778</v>
      </c>
      <c r="D20" s="238">
        <v>5094221</v>
      </c>
      <c r="E20" s="239">
        <v>84.191173432573464</v>
      </c>
    </row>
    <row r="21" spans="1:5" s="5" customFormat="1" ht="8.4499999999999993" customHeight="1" x14ac:dyDescent="0.15">
      <c r="A21" s="202" t="s">
        <v>54</v>
      </c>
      <c r="B21" s="203"/>
      <c r="C21" s="240">
        <v>11894795.699999999</v>
      </c>
      <c r="D21" s="240">
        <v>10750896</v>
      </c>
      <c r="E21" s="241">
        <v>90.383191701224433</v>
      </c>
    </row>
    <row r="22" spans="1:5" s="5" customFormat="1" ht="8.4499999999999993" customHeight="1" x14ac:dyDescent="0.15">
      <c r="A22" s="112" t="s">
        <v>53</v>
      </c>
      <c r="B22" s="110" t="s">
        <v>27</v>
      </c>
      <c r="C22" s="242">
        <v>1570403</v>
      </c>
      <c r="D22" s="242">
        <v>1531354</v>
      </c>
      <c r="E22" s="243">
        <v>97.513440817420744</v>
      </c>
    </row>
    <row r="23" spans="1:5" s="5" customFormat="1" ht="8.4499999999999993" customHeight="1" x14ac:dyDescent="0.15">
      <c r="A23" s="196" t="s">
        <v>52</v>
      </c>
      <c r="B23" s="114" t="s">
        <v>42</v>
      </c>
      <c r="C23" s="242">
        <v>1090726</v>
      </c>
      <c r="D23" s="242">
        <v>1064013</v>
      </c>
      <c r="E23" s="243">
        <v>97.550897292262221</v>
      </c>
    </row>
    <row r="24" spans="1:5" s="5" customFormat="1" ht="8.4499999999999993" customHeight="1" x14ac:dyDescent="0.15">
      <c r="A24" s="197"/>
      <c r="B24" s="110" t="s">
        <v>124</v>
      </c>
      <c r="C24" s="242">
        <v>13404</v>
      </c>
      <c r="D24" s="242">
        <v>1554</v>
      </c>
      <c r="E24" s="243">
        <v>11.593554162936437</v>
      </c>
    </row>
    <row r="25" spans="1:5" s="5" customFormat="1" ht="8.4499999999999993" customHeight="1" x14ac:dyDescent="0.15">
      <c r="A25" s="198"/>
      <c r="B25" s="114" t="s">
        <v>4</v>
      </c>
      <c r="C25" s="244">
        <v>1104130</v>
      </c>
      <c r="D25" s="244">
        <v>1065567</v>
      </c>
      <c r="E25" s="245">
        <v>96.507385905645165</v>
      </c>
    </row>
    <row r="26" spans="1:5" s="5" customFormat="1" ht="8.4499999999999993" customHeight="1" x14ac:dyDescent="0.15">
      <c r="A26" s="113" t="s">
        <v>51</v>
      </c>
      <c r="B26" s="114" t="s">
        <v>14</v>
      </c>
      <c r="C26" s="244">
        <v>658075</v>
      </c>
      <c r="D26" s="244">
        <v>672205</v>
      </c>
      <c r="E26" s="245">
        <v>102.14717167496106</v>
      </c>
    </row>
    <row r="27" spans="1:5" s="5" customFormat="1" ht="8.4499999999999993" customHeight="1" x14ac:dyDescent="0.15">
      <c r="A27" s="113" t="s">
        <v>50</v>
      </c>
      <c r="B27" s="114" t="s">
        <v>20</v>
      </c>
      <c r="C27" s="244">
        <v>687757</v>
      </c>
      <c r="D27" s="244">
        <v>658369</v>
      </c>
      <c r="E27" s="245">
        <v>95.726979151066445</v>
      </c>
    </row>
    <row r="28" spans="1:5" s="5" customFormat="1" ht="8.4499999999999993" customHeight="1" x14ac:dyDescent="0.15">
      <c r="A28" s="113" t="s">
        <v>49</v>
      </c>
      <c r="B28" s="114" t="s">
        <v>6</v>
      </c>
      <c r="C28" s="244">
        <v>495378</v>
      </c>
      <c r="D28" s="244">
        <v>487354</v>
      </c>
      <c r="E28" s="245">
        <v>98.380226816693522</v>
      </c>
    </row>
    <row r="29" spans="1:5" s="5" customFormat="1" ht="8.4499999999999993" customHeight="1" x14ac:dyDescent="0.15">
      <c r="A29" s="196" t="s">
        <v>72</v>
      </c>
      <c r="B29" s="111" t="s">
        <v>22</v>
      </c>
      <c r="C29" s="244">
        <v>3039</v>
      </c>
      <c r="D29" s="244">
        <v>2310</v>
      </c>
      <c r="E29" s="245">
        <v>76.011846001974334</v>
      </c>
    </row>
    <row r="30" spans="1:5" s="5" customFormat="1" ht="8.4499999999999993" customHeight="1" x14ac:dyDescent="0.15">
      <c r="A30" s="197"/>
      <c r="B30" s="109" t="s">
        <v>125</v>
      </c>
      <c r="C30" s="244">
        <v>160393</v>
      </c>
      <c r="D30" s="244">
        <v>107993</v>
      </c>
      <c r="E30" s="245">
        <v>67.330245085508722</v>
      </c>
    </row>
    <row r="31" spans="1:5" s="5" customFormat="1" ht="8.4499999999999993" customHeight="1" x14ac:dyDescent="0.15">
      <c r="A31" s="198"/>
      <c r="B31" s="110" t="s">
        <v>4</v>
      </c>
      <c r="C31" s="244">
        <v>163432</v>
      </c>
      <c r="D31" s="244">
        <v>110303</v>
      </c>
      <c r="E31" s="245">
        <v>67.491678496255332</v>
      </c>
    </row>
    <row r="32" spans="1:5" s="5" customFormat="1" ht="8.4499999999999993" customHeight="1" x14ac:dyDescent="0.15">
      <c r="A32" s="196" t="s">
        <v>48</v>
      </c>
      <c r="B32" s="111" t="s">
        <v>26</v>
      </c>
      <c r="C32" s="244">
        <v>232555</v>
      </c>
      <c r="D32" s="244">
        <v>151660</v>
      </c>
      <c r="E32" s="245">
        <v>65.214680398185379</v>
      </c>
    </row>
    <row r="33" spans="1:5" s="5" customFormat="1" ht="8.4499999999999993" customHeight="1" x14ac:dyDescent="0.15">
      <c r="A33" s="197"/>
      <c r="B33" s="109" t="s">
        <v>25</v>
      </c>
      <c r="C33" s="244">
        <v>197673</v>
      </c>
      <c r="D33" s="244">
        <v>167095</v>
      </c>
      <c r="E33" s="245">
        <v>84.531018399073218</v>
      </c>
    </row>
    <row r="34" spans="1:5" s="5" customFormat="1" ht="8.4499999999999993" customHeight="1" x14ac:dyDescent="0.15">
      <c r="A34" s="197"/>
      <c r="B34" s="109" t="s">
        <v>24</v>
      </c>
      <c r="C34" s="244">
        <v>181516</v>
      </c>
      <c r="D34" s="244">
        <v>82920</v>
      </c>
      <c r="E34" s="245">
        <v>45.681923356618697</v>
      </c>
    </row>
    <row r="35" spans="1:5" s="5" customFormat="1" ht="8.4499999999999993" customHeight="1" x14ac:dyDescent="0.15">
      <c r="A35" s="197"/>
      <c r="B35" s="109" t="s">
        <v>23</v>
      </c>
      <c r="C35" s="244">
        <v>71737</v>
      </c>
      <c r="D35" s="244">
        <v>38106</v>
      </c>
      <c r="E35" s="245">
        <v>53.119032019738768</v>
      </c>
    </row>
    <row r="36" spans="1:5" s="5" customFormat="1" ht="8.4499999999999993" customHeight="1" x14ac:dyDescent="0.15">
      <c r="A36" s="197"/>
      <c r="B36" s="109" t="s">
        <v>75</v>
      </c>
      <c r="C36" s="244">
        <v>22080</v>
      </c>
      <c r="D36" s="244">
        <v>1982</v>
      </c>
      <c r="E36" s="245">
        <v>8.9764492753623202</v>
      </c>
    </row>
    <row r="37" spans="1:5" s="5" customFormat="1" ht="8.4499999999999993" customHeight="1" x14ac:dyDescent="0.15">
      <c r="A37" s="198"/>
      <c r="B37" s="110" t="s">
        <v>4</v>
      </c>
      <c r="C37" s="244">
        <v>705561</v>
      </c>
      <c r="D37" s="244">
        <v>441763</v>
      </c>
      <c r="E37" s="245">
        <v>62.611595595561539</v>
      </c>
    </row>
    <row r="38" spans="1:5" s="5" customFormat="1" ht="8.4499999999999993" customHeight="1" x14ac:dyDescent="0.15">
      <c r="A38" s="196" t="s">
        <v>47</v>
      </c>
      <c r="B38" s="111" t="s">
        <v>22</v>
      </c>
      <c r="C38" s="244">
        <v>684293</v>
      </c>
      <c r="D38" s="244">
        <v>480260</v>
      </c>
      <c r="E38" s="245">
        <v>70.183386356429196</v>
      </c>
    </row>
    <row r="39" spans="1:5" s="5" customFormat="1" ht="8.4499999999999993" customHeight="1" x14ac:dyDescent="0.15">
      <c r="A39" s="197"/>
      <c r="B39" s="109" t="s">
        <v>21</v>
      </c>
      <c r="C39" s="244">
        <v>103470</v>
      </c>
      <c r="D39" s="244">
        <v>83549</v>
      </c>
      <c r="E39" s="245">
        <v>80.747076447279412</v>
      </c>
    </row>
    <row r="40" spans="1:5" s="5" customFormat="1" ht="8.4499999999999993" customHeight="1" x14ac:dyDescent="0.15">
      <c r="A40" s="198"/>
      <c r="B40" s="110" t="s">
        <v>4</v>
      </c>
      <c r="C40" s="244">
        <v>787763</v>
      </c>
      <c r="D40" s="244">
        <v>563809</v>
      </c>
      <c r="E40" s="245">
        <v>71.570891245209538</v>
      </c>
    </row>
    <row r="41" spans="1:5" s="5" customFormat="1" ht="8.4499999999999993" customHeight="1" x14ac:dyDescent="0.15">
      <c r="A41" s="196" t="s">
        <v>46</v>
      </c>
      <c r="B41" s="111" t="s">
        <v>20</v>
      </c>
      <c r="C41" s="244">
        <v>19536</v>
      </c>
      <c r="D41" s="244">
        <v>18635</v>
      </c>
      <c r="E41" s="245">
        <v>95.38800163800164</v>
      </c>
    </row>
    <row r="42" spans="1:5" s="5" customFormat="1" ht="8.4499999999999993" customHeight="1" x14ac:dyDescent="0.15">
      <c r="A42" s="197"/>
      <c r="B42" s="109" t="s">
        <v>125</v>
      </c>
      <c r="C42" s="244">
        <v>739962</v>
      </c>
      <c r="D42" s="244">
        <v>565830</v>
      </c>
      <c r="E42" s="245">
        <v>76.467440219903182</v>
      </c>
    </row>
    <row r="43" spans="1:5" s="5" customFormat="1" ht="8.4499999999999993" customHeight="1" x14ac:dyDescent="0.15">
      <c r="A43" s="197"/>
      <c r="B43" s="109" t="s">
        <v>18</v>
      </c>
      <c r="C43" s="244">
        <v>292631</v>
      </c>
      <c r="D43" s="244">
        <v>205232</v>
      </c>
      <c r="E43" s="245">
        <v>70.133376163154281</v>
      </c>
    </row>
    <row r="44" spans="1:5" s="5" customFormat="1" ht="8.4499999999999993" customHeight="1" x14ac:dyDescent="0.15">
      <c r="A44" s="198"/>
      <c r="B44" s="110" t="s">
        <v>4</v>
      </c>
      <c r="C44" s="244">
        <v>1052129</v>
      </c>
      <c r="D44" s="244">
        <v>789697</v>
      </c>
      <c r="E44" s="245">
        <v>75.057050988994703</v>
      </c>
    </row>
    <row r="45" spans="1:5" s="5" customFormat="1" ht="8.4499999999999993" customHeight="1" x14ac:dyDescent="0.15">
      <c r="A45" s="196" t="s">
        <v>45</v>
      </c>
      <c r="B45" s="111" t="s">
        <v>17</v>
      </c>
      <c r="C45" s="244">
        <v>486287</v>
      </c>
      <c r="D45" s="244">
        <v>384882</v>
      </c>
      <c r="E45" s="245">
        <v>79.147088036488739</v>
      </c>
    </row>
    <row r="46" spans="1:5" s="5" customFormat="1" ht="8.4499999999999993" customHeight="1" x14ac:dyDescent="0.15">
      <c r="A46" s="197"/>
      <c r="B46" s="109" t="s">
        <v>16</v>
      </c>
      <c r="C46" s="244">
        <v>181213</v>
      </c>
      <c r="D46" s="244">
        <v>130067</v>
      </c>
      <c r="E46" s="245">
        <v>71.775755602522992</v>
      </c>
    </row>
    <row r="47" spans="1:5" s="5" customFormat="1" ht="8.4499999999999993" customHeight="1" x14ac:dyDescent="0.15">
      <c r="A47" s="197"/>
      <c r="B47" s="109" t="s">
        <v>15</v>
      </c>
      <c r="C47" s="244">
        <v>184862</v>
      </c>
      <c r="D47" s="244">
        <v>129673</v>
      </c>
      <c r="E47" s="245">
        <v>70.145838517380525</v>
      </c>
    </row>
    <row r="48" spans="1:5" s="5" customFormat="1" ht="8.4499999999999993" customHeight="1" x14ac:dyDescent="0.15">
      <c r="A48" s="198"/>
      <c r="B48" s="110" t="s">
        <v>4</v>
      </c>
      <c r="C48" s="244">
        <v>852362</v>
      </c>
      <c r="D48" s="244">
        <v>644622</v>
      </c>
      <c r="E48" s="245">
        <v>75.627726247767967</v>
      </c>
    </row>
    <row r="49" spans="1:5" s="5" customFormat="1" ht="8.4499999999999993" customHeight="1" x14ac:dyDescent="0.15">
      <c r="A49" s="196" t="s">
        <v>44</v>
      </c>
      <c r="B49" s="111" t="s">
        <v>14</v>
      </c>
      <c r="C49" s="244">
        <v>239127</v>
      </c>
      <c r="D49" s="244">
        <v>91113</v>
      </c>
      <c r="E49" s="245">
        <v>38.102347288261051</v>
      </c>
    </row>
    <row r="50" spans="1:5" s="5" customFormat="1" ht="8.4499999999999993" customHeight="1" x14ac:dyDescent="0.15">
      <c r="A50" s="197"/>
      <c r="B50" s="109" t="s">
        <v>119</v>
      </c>
      <c r="C50" s="244">
        <v>195949</v>
      </c>
      <c r="D50" s="244">
        <v>154857</v>
      </c>
      <c r="E50" s="245">
        <v>79.029237199475375</v>
      </c>
    </row>
    <row r="51" spans="1:5" s="5" customFormat="1" ht="8.4499999999999993" customHeight="1" x14ac:dyDescent="0.15">
      <c r="A51" s="197"/>
      <c r="B51" s="109" t="s">
        <v>13</v>
      </c>
      <c r="C51" s="244">
        <v>285294</v>
      </c>
      <c r="D51" s="244">
        <v>183161</v>
      </c>
      <c r="E51" s="245">
        <v>64.200789361150257</v>
      </c>
    </row>
    <row r="52" spans="1:5" s="5" customFormat="1" ht="8.4499999999999993" customHeight="1" x14ac:dyDescent="0.15">
      <c r="A52" s="197"/>
      <c r="B52" s="109" t="s">
        <v>12</v>
      </c>
      <c r="C52" s="244">
        <v>128285</v>
      </c>
      <c r="D52" s="244">
        <v>108349</v>
      </c>
      <c r="E52" s="245">
        <v>84.45960166816073</v>
      </c>
    </row>
    <row r="53" spans="1:5" s="5" customFormat="1" ht="8.4499999999999993" customHeight="1" x14ac:dyDescent="0.15">
      <c r="A53" s="198"/>
      <c r="B53" s="110" t="s">
        <v>4</v>
      </c>
      <c r="C53" s="244">
        <v>848655</v>
      </c>
      <c r="D53" s="244">
        <v>537480</v>
      </c>
      <c r="E53" s="245">
        <v>63.33315658306379</v>
      </c>
    </row>
    <row r="54" spans="1:5" s="5" customFormat="1" ht="8.4499999999999993" customHeight="1" x14ac:dyDescent="0.15">
      <c r="A54" s="196" t="s">
        <v>43</v>
      </c>
      <c r="B54" s="111" t="s">
        <v>42</v>
      </c>
      <c r="C54" s="244">
        <v>151867</v>
      </c>
      <c r="D54" s="244">
        <v>138205</v>
      </c>
      <c r="E54" s="245">
        <v>91.003970579520242</v>
      </c>
    </row>
    <row r="55" spans="1:5" s="5" customFormat="1" ht="8.4499999999999993" customHeight="1" x14ac:dyDescent="0.15">
      <c r="A55" s="197"/>
      <c r="B55" s="96" t="s">
        <v>11</v>
      </c>
      <c r="C55" s="244">
        <v>443668</v>
      </c>
      <c r="D55" s="244">
        <v>304786</v>
      </c>
      <c r="E55" s="245">
        <v>68.696863420395431</v>
      </c>
    </row>
    <row r="56" spans="1:5" s="5" customFormat="1" ht="8.4499999999999993" customHeight="1" x14ac:dyDescent="0.15">
      <c r="A56" s="197"/>
      <c r="B56" s="96" t="s">
        <v>10</v>
      </c>
      <c r="C56" s="244">
        <v>282159</v>
      </c>
      <c r="D56" s="244">
        <v>224416</v>
      </c>
      <c r="E56" s="245">
        <v>79.535297474119204</v>
      </c>
    </row>
    <row r="57" spans="1:5" s="5" customFormat="1" ht="8.4499999999999993" customHeight="1" x14ac:dyDescent="0.15">
      <c r="A57" s="197"/>
      <c r="B57" s="109" t="s">
        <v>9</v>
      </c>
      <c r="C57" s="244">
        <v>205420</v>
      </c>
      <c r="D57" s="244">
        <v>102801</v>
      </c>
      <c r="E57" s="245">
        <v>50.044299483984034</v>
      </c>
    </row>
    <row r="58" spans="1:5" s="5" customFormat="1" ht="8.4499999999999993" customHeight="1" x14ac:dyDescent="0.15">
      <c r="A58" s="197"/>
      <c r="B58" s="109" t="s">
        <v>8</v>
      </c>
      <c r="C58" s="244">
        <v>179847</v>
      </c>
      <c r="D58" s="244">
        <v>134679</v>
      </c>
      <c r="E58" s="245">
        <v>74.885319187976449</v>
      </c>
    </row>
    <row r="59" spans="1:5" s="5" customFormat="1" ht="8.4499999999999993" customHeight="1" x14ac:dyDescent="0.15">
      <c r="A59" s="198"/>
      <c r="B59" s="110" t="s">
        <v>4</v>
      </c>
      <c r="C59" s="246">
        <v>1262961</v>
      </c>
      <c r="D59" s="246">
        <v>904887</v>
      </c>
      <c r="E59" s="245">
        <v>71.648055640672993</v>
      </c>
    </row>
    <row r="60" spans="1:5" s="5" customFormat="1" ht="8.4499999999999993" customHeight="1" x14ac:dyDescent="0.15">
      <c r="A60" s="196" t="s">
        <v>41</v>
      </c>
      <c r="B60" s="111" t="s">
        <v>7</v>
      </c>
      <c r="C60" s="244">
        <v>1016825</v>
      </c>
      <c r="D60" s="244">
        <v>862388</v>
      </c>
      <c r="E60" s="245">
        <v>84.811840778895089</v>
      </c>
    </row>
    <row r="61" spans="1:5" s="5" customFormat="1" ht="8.4499999999999993" customHeight="1" x14ac:dyDescent="0.15">
      <c r="A61" s="197"/>
      <c r="B61" s="109" t="s">
        <v>6</v>
      </c>
      <c r="C61" s="244">
        <v>163197</v>
      </c>
      <c r="D61" s="244">
        <v>136491</v>
      </c>
      <c r="E61" s="245">
        <v>83.635728597952166</v>
      </c>
    </row>
    <row r="62" spans="1:5" s="5" customFormat="1" ht="8.4499999999999993" customHeight="1" x14ac:dyDescent="0.15">
      <c r="A62" s="197"/>
      <c r="B62" s="109" t="s">
        <v>5</v>
      </c>
      <c r="C62" s="244">
        <v>335202</v>
      </c>
      <c r="D62" s="244">
        <v>209227</v>
      </c>
      <c r="E62" s="245">
        <v>62.41818366238865</v>
      </c>
    </row>
    <row r="63" spans="1:5" s="5" customFormat="1" ht="8.4499999999999993" customHeight="1" x14ac:dyDescent="0.15">
      <c r="A63" s="197"/>
      <c r="B63" s="109" t="s">
        <v>4</v>
      </c>
      <c r="C63" s="244">
        <v>1515224</v>
      </c>
      <c r="D63" s="244">
        <v>1208106</v>
      </c>
      <c r="E63" s="245">
        <v>79.731181660269371</v>
      </c>
    </row>
    <row r="64" spans="1:5" s="5" customFormat="1" ht="8.4499999999999993" customHeight="1" x14ac:dyDescent="0.15">
      <c r="A64" s="115" t="s">
        <v>40</v>
      </c>
      <c r="B64" s="116" t="s">
        <v>39</v>
      </c>
      <c r="C64" s="244">
        <v>248406</v>
      </c>
      <c r="D64" s="244">
        <v>53417</v>
      </c>
      <c r="E64" s="245">
        <v>21.503908923294929</v>
      </c>
    </row>
    <row r="65" spans="1:5" s="5" customFormat="1" ht="8.4499999999999993" customHeight="1" x14ac:dyDescent="0.15">
      <c r="A65" s="199" t="s">
        <v>38</v>
      </c>
      <c r="B65" s="200"/>
      <c r="C65" s="240">
        <v>11952236</v>
      </c>
      <c r="D65" s="240">
        <v>9668933</v>
      </c>
      <c r="E65" s="241">
        <v>80.896436449213354</v>
      </c>
    </row>
    <row r="66" spans="1:5" s="5" customFormat="1" ht="8.4499999999999993" customHeight="1" x14ac:dyDescent="0.15">
      <c r="A66" s="176" t="s">
        <v>3</v>
      </c>
      <c r="B66" s="177"/>
      <c r="C66" s="240">
        <v>23847031.699999999</v>
      </c>
      <c r="D66" s="240">
        <v>20419829</v>
      </c>
      <c r="E66" s="241">
        <v>85.628388710532903</v>
      </c>
    </row>
    <row r="67" spans="1:5" ht="8.4499999999999993" customHeight="1" x14ac:dyDescent="0.15">
      <c r="A67" s="117"/>
      <c r="B67" s="118"/>
      <c r="C67" s="225"/>
      <c r="D67" s="225"/>
      <c r="E67" s="226"/>
    </row>
    <row r="68" spans="1:5" ht="8.4499999999999993" customHeight="1" x14ac:dyDescent="0.15">
      <c r="A68" s="194" t="s">
        <v>37</v>
      </c>
      <c r="B68" s="195"/>
      <c r="C68" s="227">
        <f t="shared" ref="C68:D70" si="0">SUM(C5,C14)</f>
        <v>1772772</v>
      </c>
      <c r="D68" s="227">
        <f t="shared" si="0"/>
        <v>1530553</v>
      </c>
      <c r="E68" s="228">
        <v>86.336708837910351</v>
      </c>
    </row>
    <row r="69" spans="1:5" ht="8.4499999999999993" customHeight="1" x14ac:dyDescent="0.15">
      <c r="A69" s="190" t="s">
        <v>36</v>
      </c>
      <c r="B69" s="191"/>
      <c r="C69" s="224">
        <f t="shared" si="0"/>
        <v>1447193.7</v>
      </c>
      <c r="D69" s="224">
        <f t="shared" si="0"/>
        <v>1358753</v>
      </c>
      <c r="E69" s="229">
        <v>93.888813916202096</v>
      </c>
    </row>
    <row r="70" spans="1:5" ht="8.4499999999999993" customHeight="1" x14ac:dyDescent="0.15">
      <c r="A70" s="190" t="s">
        <v>35</v>
      </c>
      <c r="B70" s="191"/>
      <c r="C70" s="224">
        <f t="shared" si="0"/>
        <v>2588924</v>
      </c>
      <c r="D70" s="224">
        <f t="shared" si="0"/>
        <v>2500517</v>
      </c>
      <c r="E70" s="229">
        <v>96.585183651586533</v>
      </c>
    </row>
    <row r="71" spans="1:5" ht="8.4499999999999993" customHeight="1" x14ac:dyDescent="0.15">
      <c r="A71" s="190" t="s">
        <v>34</v>
      </c>
      <c r="B71" s="191"/>
      <c r="C71" s="224">
        <f>SUM(C9,C17)</f>
        <v>1046001</v>
      </c>
      <c r="D71" s="224">
        <f>SUM(D9,D17)</f>
        <v>941056</v>
      </c>
      <c r="E71" s="229">
        <v>89.967026800165584</v>
      </c>
    </row>
    <row r="72" spans="1:5" ht="8.4499999999999993" customHeight="1" x14ac:dyDescent="0.15">
      <c r="A72" s="190" t="s">
        <v>33</v>
      </c>
      <c r="B72" s="191"/>
      <c r="C72" s="224">
        <f>SUM(C11,C18)</f>
        <v>3750255</v>
      </c>
      <c r="D72" s="224">
        <f>SUM(D11,D18)</f>
        <v>3220192</v>
      </c>
      <c r="E72" s="229">
        <v>85.865947782217475</v>
      </c>
    </row>
    <row r="73" spans="1:5" ht="8.4499999999999993" customHeight="1" x14ac:dyDescent="0.15">
      <c r="A73" s="190" t="s">
        <v>32</v>
      </c>
      <c r="B73" s="191"/>
      <c r="C73" s="224">
        <f>SUM(C12,C19)</f>
        <v>908566</v>
      </c>
      <c r="D73" s="224">
        <f>SUM(D12,D19)</f>
        <v>800956</v>
      </c>
      <c r="E73" s="229">
        <v>88.156061309800279</v>
      </c>
    </row>
    <row r="74" spans="1:5" ht="8.4499999999999993" customHeight="1" x14ac:dyDescent="0.15">
      <c r="A74" s="190" t="s">
        <v>31</v>
      </c>
      <c r="B74" s="191"/>
      <c r="C74" s="224">
        <f>SUM(C25,C54)</f>
        <v>1255997</v>
      </c>
      <c r="D74" s="224">
        <f>SUM(D25,D54)</f>
        <v>1203772</v>
      </c>
      <c r="E74" s="229">
        <v>95.841948667074846</v>
      </c>
    </row>
    <row r="75" spans="1:5" ht="8.4499999999999993" customHeight="1" x14ac:dyDescent="0.15">
      <c r="A75" s="190" t="s">
        <v>126</v>
      </c>
      <c r="B75" s="191"/>
      <c r="C75" s="224">
        <f>C24+C57</f>
        <v>218824</v>
      </c>
      <c r="D75" s="224">
        <f>D24+D57</f>
        <v>104355</v>
      </c>
      <c r="E75" s="229">
        <v>47.68901034621431</v>
      </c>
    </row>
    <row r="76" spans="1:5" ht="8.4499999999999993" customHeight="1" x14ac:dyDescent="0.15">
      <c r="A76" s="190" t="s">
        <v>30</v>
      </c>
      <c r="B76" s="191"/>
      <c r="C76" s="224">
        <f>SUM(C26,C49)</f>
        <v>897202</v>
      </c>
      <c r="D76" s="224">
        <f>SUM(D26,D49)</f>
        <v>763318</v>
      </c>
      <c r="E76" s="229">
        <v>85.077607941132541</v>
      </c>
    </row>
    <row r="77" spans="1:5" ht="8.4499999999999993" customHeight="1" x14ac:dyDescent="0.15">
      <c r="A77" s="190" t="s">
        <v>2</v>
      </c>
      <c r="B77" s="191"/>
      <c r="C77" s="224">
        <f>SUM(C27,C41)</f>
        <v>707293</v>
      </c>
      <c r="D77" s="224">
        <f>SUM(D27,D41)</f>
        <v>677004</v>
      </c>
      <c r="E77" s="229">
        <v>95.717616320252006</v>
      </c>
    </row>
    <row r="78" spans="1:5" ht="8.4499999999999993" customHeight="1" x14ac:dyDescent="0.15">
      <c r="A78" s="190" t="s">
        <v>1</v>
      </c>
      <c r="B78" s="191"/>
      <c r="C78" s="224">
        <f>SUM(C28,C61)</f>
        <v>658575</v>
      </c>
      <c r="D78" s="224">
        <f>SUM(D28,D61)</f>
        <v>623845</v>
      </c>
      <c r="E78" s="229">
        <v>94.726492806438145</v>
      </c>
    </row>
    <row r="79" spans="1:5" ht="8.4499999999999993" customHeight="1" x14ac:dyDescent="0.15">
      <c r="A79" s="190" t="s">
        <v>71</v>
      </c>
      <c r="B79" s="191"/>
      <c r="C79" s="224">
        <f>SUM(C29,C38)</f>
        <v>687332</v>
      </c>
      <c r="D79" s="224">
        <f>SUM(D29,D38)</f>
        <v>482570</v>
      </c>
      <c r="E79" s="229">
        <v>70.209156564804204</v>
      </c>
    </row>
    <row r="80" spans="1:5" ht="8.4499999999999993" customHeight="1" x14ac:dyDescent="0.15">
      <c r="A80" s="192" t="s">
        <v>76</v>
      </c>
      <c r="B80" s="193"/>
      <c r="C80" s="230">
        <f>SUM(C42,C30)</f>
        <v>900355</v>
      </c>
      <c r="D80" s="230">
        <f>SUM(D42,D30)</f>
        <v>673823</v>
      </c>
      <c r="E80" s="231">
        <v>74.839702117498092</v>
      </c>
    </row>
    <row r="81" spans="1:5" ht="9.6" customHeight="1" x14ac:dyDescent="0.15">
      <c r="A81" s="97" t="s">
        <v>0</v>
      </c>
      <c r="B81" s="98"/>
      <c r="C81" s="232"/>
      <c r="D81" s="232"/>
      <c r="E81" s="233"/>
    </row>
    <row r="82" spans="1:5" x14ac:dyDescent="0.15">
      <c r="C82" s="234"/>
      <c r="D82" s="234"/>
      <c r="E82" s="234"/>
    </row>
    <row r="83" spans="1:5" s="4" customFormat="1" ht="11.25" customHeight="1" x14ac:dyDescent="0.15">
      <c r="A83" s="99"/>
      <c r="C83" s="235"/>
      <c r="D83" s="235"/>
      <c r="E83" s="236"/>
    </row>
    <row r="84" spans="1:5" x14ac:dyDescent="0.15">
      <c r="E84" s="233"/>
    </row>
    <row r="85" spans="1:5" x14ac:dyDescent="0.15">
      <c r="E85" s="233"/>
    </row>
    <row r="86" spans="1:5" s="4" customFormat="1" ht="11.25" customHeight="1" x14ac:dyDescent="0.15">
      <c r="A86" s="99"/>
      <c r="C86" s="235"/>
      <c r="D86" s="237"/>
      <c r="E86" s="236"/>
    </row>
    <row r="87" spans="1:5" x14ac:dyDescent="0.15">
      <c r="E87" s="233"/>
    </row>
    <row r="88" spans="1:5" x14ac:dyDescent="0.15">
      <c r="E88" s="233"/>
    </row>
    <row r="89" spans="1:5" x14ac:dyDescent="0.15">
      <c r="E89" s="233"/>
    </row>
    <row r="90" spans="1:5" x14ac:dyDescent="0.15">
      <c r="E90" s="233"/>
    </row>
    <row r="91" spans="1:5" x14ac:dyDescent="0.15">
      <c r="E91" s="233"/>
    </row>
    <row r="92" spans="1:5" x14ac:dyDescent="0.15">
      <c r="E92" s="233"/>
    </row>
    <row r="93" spans="1:5" x14ac:dyDescent="0.15">
      <c r="E93" s="233"/>
    </row>
    <row r="94" spans="1:5" x14ac:dyDescent="0.15">
      <c r="E94" s="233"/>
    </row>
    <row r="95" spans="1:5" x14ac:dyDescent="0.15">
      <c r="E95" s="233"/>
    </row>
    <row r="96" spans="1:5" x14ac:dyDescent="0.15">
      <c r="E96" s="233"/>
    </row>
  </sheetData>
  <mergeCells count="30">
    <mergeCell ref="A75:B75"/>
    <mergeCell ref="A76:B76"/>
    <mergeCell ref="A77:B77"/>
    <mergeCell ref="A78:B78"/>
    <mergeCell ref="A79:B79"/>
    <mergeCell ref="A80:B80"/>
    <mergeCell ref="A69:B69"/>
    <mergeCell ref="A70:B70"/>
    <mergeCell ref="A71:B71"/>
    <mergeCell ref="A72:B72"/>
    <mergeCell ref="A73:B73"/>
    <mergeCell ref="A74:B74"/>
    <mergeCell ref="A49:A53"/>
    <mergeCell ref="A54:A59"/>
    <mergeCell ref="A60:A63"/>
    <mergeCell ref="A65:B65"/>
    <mergeCell ref="A66:B66"/>
    <mergeCell ref="A68:B68"/>
    <mergeCell ref="A23:A25"/>
    <mergeCell ref="A29:A31"/>
    <mergeCell ref="A32:A37"/>
    <mergeCell ref="A38:A40"/>
    <mergeCell ref="A41:A44"/>
    <mergeCell ref="A45:A48"/>
    <mergeCell ref="A3:A4"/>
    <mergeCell ref="B3:B4"/>
    <mergeCell ref="A5:A10"/>
    <mergeCell ref="A11:A13"/>
    <mergeCell ref="A14:A20"/>
    <mergeCell ref="A21:B21"/>
  </mergeCells>
  <phoneticPr fontId="7" type="noConversion"/>
  <printOptions horizontalCentered="1"/>
  <pageMargins left="1.1811023622047245" right="1.1811023622047245" top="1.3779527559055118" bottom="1.3779527559055118" header="0" footer="0.98425196850393704"/>
  <pageSetup paperSize="9" scale="83" firstPageNumber="144" fitToWidth="2" orientation="portrait" useFirstPageNumber="1" horizontalDpi="300" verticalDpi="300" r:id="rId1"/>
  <headerFooter alignWithMargins="0">
    <oddFooter>&amp;C&amp;"가을체,보통"&amp;7&amp;P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 지정된 범위</vt:lpstr>
      </vt:variant>
      <vt:variant>
        <vt:i4>4</vt:i4>
      </vt:variant>
    </vt:vector>
  </HeadingPairs>
  <TitlesOfParts>
    <vt:vector size="9" baseType="lpstr">
      <vt:lpstr>('92-'05)</vt:lpstr>
      <vt:lpstr>('06-'11)</vt:lpstr>
      <vt:lpstr>('12-'17)</vt:lpstr>
      <vt:lpstr>('18-'23)</vt:lpstr>
      <vt:lpstr>('24)</vt:lpstr>
      <vt:lpstr>'(''12-''17)'!Print_Area</vt:lpstr>
      <vt:lpstr>'(''18-''23)'!Print_Area</vt:lpstr>
      <vt:lpstr>'(''24)'!Print_Area</vt:lpstr>
      <vt:lpstr>'(''92-''05)'!Print_Area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사용자</dc:creator>
  <cp:lastModifiedBy>지용 노</cp:lastModifiedBy>
  <dcterms:created xsi:type="dcterms:W3CDTF">2021-06-18T07:30:54Z</dcterms:created>
  <dcterms:modified xsi:type="dcterms:W3CDTF">2025-07-31T02:21:08Z</dcterms:modified>
</cp:coreProperties>
</file>